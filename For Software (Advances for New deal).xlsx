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H_CRM\"/>
    </mc:Choice>
  </mc:AlternateContent>
  <bookViews>
    <workbookView minimized="1" xWindow="0" yWindow="0" windowWidth="20496" windowHeight="7752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5" i="1" l="1"/>
  <c r="C54" i="1"/>
  <c r="C44" i="1"/>
  <c r="C36" i="1"/>
  <c r="C29" i="1"/>
  <c r="E18" i="1"/>
  <c r="E3" i="1"/>
  <c r="C58" i="1" l="1"/>
</calcChain>
</file>

<file path=xl/comments1.xml><?xml version="1.0" encoding="utf-8"?>
<comments xmlns="http://schemas.openxmlformats.org/spreadsheetml/2006/main">
  <authors>
    <author>ASK MARKETING</author>
  </authors>
  <commentList>
    <comment ref="C39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B40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40" authorId="0" shapeId="0">
      <text/>
    </comment>
    <comment ref="C41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49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50" authorId="0" shapeId="0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<sst xmlns="http://schemas.openxmlformats.org/spreadsheetml/2006/main" count="87" uniqueCount="60">
  <si>
    <t>UNIVERSAL HOLDING</t>
  </si>
  <si>
    <t>AMOUNT DEPOSITED IN COMPANY ACCOUNT FOR COMMERCIAL-APR-26</t>
  </si>
  <si>
    <t>Date</t>
  </si>
  <si>
    <t>universal Holding</t>
  </si>
  <si>
    <t>Receipt</t>
  </si>
  <si>
    <t>Amount Mode</t>
  </si>
  <si>
    <t>Amount</t>
  </si>
  <si>
    <t>Receipt Status</t>
  </si>
  <si>
    <t>Description</t>
  </si>
  <si>
    <t>Adil Siraj</t>
  </si>
  <si>
    <t>Online</t>
  </si>
  <si>
    <t>Available</t>
  </si>
  <si>
    <t>Adil Transfer direct to UDPL</t>
  </si>
  <si>
    <t>Zahid Kaleem/Umair</t>
  </si>
  <si>
    <t>Cheque(UBL)</t>
  </si>
  <si>
    <t>Chq Given by Umair Ahmed to Azam Sir</t>
  </si>
  <si>
    <t>Azam Khan</t>
  </si>
  <si>
    <t>Cheque(MZN)</t>
  </si>
  <si>
    <r>
      <t xml:space="preserve">Azam Deposite to UDPL (Murtaza Deposite </t>
    </r>
    <r>
      <rPr>
        <b/>
        <sz val="11"/>
        <color theme="1"/>
        <rFont val="Calibri"/>
        <family val="2"/>
        <scheme val="minor"/>
      </rPr>
      <t>50Lac</t>
    </r>
    <r>
      <rPr>
        <sz val="11"/>
        <color theme="1"/>
        <rFont val="Calibri"/>
        <family val="2"/>
        <scheme val="minor"/>
      </rPr>
      <t xml:space="preserve"> In Azam's Account)</t>
    </r>
    <r>
      <rPr>
        <b/>
        <sz val="11"/>
        <color theme="1"/>
        <rFont val="Calibri"/>
        <family val="2"/>
        <scheme val="minor"/>
      </rPr>
      <t xml:space="preserve"> 40-L 2-66M</t>
    </r>
  </si>
  <si>
    <t>Cheque(BML)</t>
  </si>
  <si>
    <t>Shafeeq given a chq to Adil Siraja for new project</t>
  </si>
  <si>
    <t>Murtaza+ Azam</t>
  </si>
  <si>
    <r>
      <t>Murtaza Given via Online through Abdul Hameed to Azam Khan MZN Account (</t>
    </r>
    <r>
      <rPr>
        <b/>
        <sz val="11"/>
        <color theme="1"/>
        <rFont val="Calibri"/>
        <family val="2"/>
        <scheme val="minor"/>
      </rPr>
      <t>35-D 10M)</t>
    </r>
  </si>
  <si>
    <t>Chq Given by Umair Ahmed to UDPL</t>
  </si>
  <si>
    <t>Azam</t>
  </si>
  <si>
    <t>P.O HBL</t>
  </si>
  <si>
    <t>Hassan Ghaffor given P.O of HBL bank to deposite in UDPL</t>
  </si>
  <si>
    <t>Azam+Younus</t>
  </si>
  <si>
    <t>Cash</t>
  </si>
  <si>
    <t>Given by Ali Ahmed</t>
  </si>
  <si>
    <t>13-Mat-26</t>
  </si>
  <si>
    <t>Given By Ali Ahmed</t>
  </si>
  <si>
    <t>ADVANCE DETAILS BREAKUP MAY-26</t>
  </si>
  <si>
    <t>Sr#</t>
  </si>
  <si>
    <t>Online to UDPL</t>
  </si>
  <si>
    <t>Adil Tansfer online to UDPL on 14-May-26</t>
  </si>
  <si>
    <t>BML Cheque</t>
  </si>
  <si>
    <t xml:space="preserve">Shafeeq's cheque deposite in uDPL </t>
  </si>
  <si>
    <t>Adil given cash to Azam Sir on 25-May-26</t>
  </si>
  <si>
    <t>This Amount not deposite in UDPL</t>
  </si>
  <si>
    <t>Adil's Total</t>
  </si>
  <si>
    <r>
      <t xml:space="preserve">Azam Deposite to UDPL (Murtaza Deposite </t>
    </r>
    <r>
      <rPr>
        <b/>
        <sz val="11"/>
        <color theme="1"/>
        <rFont val="Calibri"/>
        <family val="2"/>
        <scheme val="minor"/>
      </rPr>
      <t>50Lac</t>
    </r>
    <r>
      <rPr>
        <sz val="11"/>
        <color theme="1"/>
        <rFont val="Calibri"/>
        <family val="2"/>
        <scheme val="minor"/>
      </rPr>
      <t xml:space="preserve"> In Azam's Account) </t>
    </r>
    <r>
      <rPr>
        <b/>
        <sz val="11"/>
        <color theme="1"/>
        <rFont val="Calibri"/>
        <family val="2"/>
        <scheme val="minor"/>
      </rPr>
      <t>40-L 2.66M</t>
    </r>
  </si>
  <si>
    <t>Azam's Total</t>
  </si>
  <si>
    <r>
      <t xml:space="preserve">Azam Deposite 60 lac Chq to UDPL (Murtaza Deposite </t>
    </r>
    <r>
      <rPr>
        <b/>
        <sz val="11"/>
        <color theme="1"/>
        <rFont val="Calibri"/>
        <family val="2"/>
        <scheme val="minor"/>
      </rPr>
      <t>50Lac</t>
    </r>
    <r>
      <rPr>
        <sz val="11"/>
        <color theme="1"/>
        <rFont val="Calibri"/>
        <family val="2"/>
        <scheme val="minor"/>
      </rPr>
      <t xml:space="preserve"> In Azam's Account) 40-L 2.66M</t>
    </r>
  </si>
  <si>
    <t>Payment Deposite against 40-L</t>
  </si>
  <si>
    <t>Murtaza Given via Online through Abdul Hameed to Azam Khan MZN Account (35-D 10M)</t>
  </si>
  <si>
    <t>Payment Deposite against 35-D 10M</t>
  </si>
  <si>
    <t>Murtaza transfer online to Ahmed Habib(Commision Agent) on behalf of Azam (24-May-26)</t>
  </si>
  <si>
    <t>Not deposite in UDPL</t>
  </si>
  <si>
    <t>Murtaza's Total</t>
  </si>
  <si>
    <t>UBL Chq of Zahid Kaleem (14-May-26)</t>
  </si>
  <si>
    <t>UBL Chq of Zahid Kaleem (21-May-26)</t>
  </si>
  <si>
    <t>Umair transfer Online via Saima Zaffar to Adil Siraj FBL (23-May-26)</t>
  </si>
  <si>
    <t>Not Deposite in UDPL this amount consider in Liberty/ 286-E</t>
  </si>
  <si>
    <t>Umair transfer Online via M.Zahid to Adil Siraj UBL (23-May-26)</t>
  </si>
  <si>
    <t>Umair transfer Online via M.Zahid to Adil Siraj UBL (24-May-26)</t>
  </si>
  <si>
    <t>Not Deposite in UDPL this amount Adil will confirm</t>
  </si>
  <si>
    <t>Umair Ahmed Khan</t>
  </si>
  <si>
    <t>Umair's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</si>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</sst>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Bahnschrift"/>
      <family val="2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Arial Black"/>
      <family val="2"/>
    </font>
    <font>
      <sz val="11"/>
      <color theme="1"/>
      <name val="Arial Black"/>
      <family val="2"/>
    </font>
    <font>
      <b/>
      <sz val="14"/>
      <color theme="0"/>
      <name val="Calibri"/>
      <family val="2"/>
      <scheme val="minor"/>
    </font>
    <font>
      <b/>
      <sz val="12"/>
      <color theme="0"/>
      <name val="Arial Black"/>
      <family val="2"/>
    </font>
    <font>
      <b/>
      <sz val="12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0" xfId="0" applyFont="1" applyAlignment="1"/>
    <xf numFmtId="0" fontId="5" fillId="0" borderId="0" xfId="0" applyFont="1"/>
    <xf numFmtId="0" fontId="6" fillId="0" borderId="0" xfId="0" applyFont="1"/>
    <xf numFmtId="3" fontId="7" fillId="0" borderId="0" xfId="0" applyNumberFormat="1" applyFont="1"/>
    <xf numFmtId="0" fontId="8" fillId="0" borderId="0" xfId="0" applyFont="1"/>
    <xf numFmtId="3" fontId="9" fillId="3" borderId="0" xfId="0" applyNumberFormat="1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/>
    <xf numFmtId="3" fontId="2" fillId="0" borderId="0" xfId="0" applyNumberFormat="1" applyFont="1" applyAlignment="1">
      <alignment horizontal="center"/>
    </xf>
    <xf numFmtId="0" fontId="0" fillId="0" borderId="0" xfId="0" applyFont="1"/>
    <xf numFmtId="15" fontId="0" fillId="4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 applyAlignment="1">
      <alignment horizontal="center"/>
    </xf>
    <xf numFmtId="0" fontId="0" fillId="4" borderId="0" xfId="0" applyFill="1"/>
    <xf numFmtId="0" fontId="0" fillId="4" borderId="0" xfId="0" applyFont="1" applyFill="1"/>
    <xf numFmtId="3" fontId="0" fillId="0" borderId="0" xfId="0" applyNumberFormat="1"/>
    <xf numFmtId="3" fontId="10" fillId="5" borderId="0" xfId="0" applyNumberFormat="1" applyFont="1" applyFill="1"/>
    <xf numFmtId="0" fontId="11" fillId="0" borderId="0" xfId="0" applyFont="1" applyBorder="1"/>
    <xf numFmtId="0" fontId="12" fillId="0" borderId="0" xfId="0" applyFont="1"/>
    <xf numFmtId="0" fontId="13" fillId="6" borderId="1" xfId="0" applyFont="1" applyFill="1" applyBorder="1"/>
    <xf numFmtId="0" fontId="13" fillId="6" borderId="2" xfId="0" applyFont="1" applyFill="1" applyBorder="1"/>
    <xf numFmtId="0" fontId="0" fillId="0" borderId="0" xfId="0" applyAlignment="1">
      <alignment horizontal="center"/>
    </xf>
    <xf numFmtId="3" fontId="14" fillId="0" borderId="0" xfId="0" applyNumberFormat="1" applyFont="1"/>
    <xf numFmtId="0" fontId="1" fillId="0" borderId="0" xfId="0" applyFont="1"/>
    <xf numFmtId="0" fontId="0" fillId="0" borderId="0" xfId="0" applyFill="1" applyBorder="1" applyAlignment="1">
      <alignment horizontal="center"/>
    </xf>
    <xf numFmtId="3" fontId="2" fillId="0" borderId="0" xfId="0" applyNumberFormat="1" applyFont="1"/>
    <xf numFmtId="0" fontId="2" fillId="7" borderId="0" xfId="0" applyFont="1" applyFill="1" applyAlignment="1">
      <alignment horizontal="center"/>
    </xf>
    <xf numFmtId="3" fontId="13" fillId="5" borderId="0" xfId="0" applyNumberFormat="1" applyFont="1" applyFill="1"/>
    <xf numFmtId="0" fontId="13" fillId="6" borderId="0" xfId="0" applyFont="1" applyFill="1"/>
    <xf numFmtId="0" fontId="0" fillId="0" borderId="3" xfId="0" applyFont="1" applyBorder="1"/>
    <xf numFmtId="0" fontId="0" fillId="8" borderId="3" xfId="0" applyFont="1" applyFill="1" applyBorder="1"/>
    <xf numFmtId="3" fontId="14" fillId="0" borderId="0" xfId="0" applyNumberFormat="1" applyFont="1" applyAlignment="1">
      <alignment horizontal="right"/>
    </xf>
    <xf numFmtId="0" fontId="2" fillId="7" borderId="0" xfId="0" applyFont="1" applyFill="1"/>
    <xf numFmtId="0" fontId="0" fillId="0" borderId="0" xfId="0" applyFont="1" applyFill="1" applyBorder="1"/>
    <xf numFmtId="3" fontId="14" fillId="0" borderId="0" xfId="0" applyNumberFormat="1" applyFont="1" applyFill="1" applyBorder="1"/>
    <xf numFmtId="0" fontId="2" fillId="9" borderId="0" xfId="0" applyFont="1" applyFill="1"/>
    <xf numFmtId="3" fontId="2" fillId="10" borderId="0" xfId="0" applyNumberFormat="1" applyFont="1" applyFill="1"/>
    <xf numFmtId="0" fontId="14" fillId="11" borderId="0" xfId="0" applyFont="1" applyFill="1" applyAlignment="1">
      <alignment horizontal="center"/>
    </xf>
    <xf numFmtId="3" fontId="9" fillId="3" borderId="0" xfId="0" applyNumberFormat="1" applyFont="1" applyFill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tables/table1.xml><?xml version="1.0" encoding="utf-8"?>
<table xmlns="http://schemas.openxmlformats.org/spreadsheetml/2006/main" id="1" name="Table10" displayName="Table10" ref="A4:G16" totalsRowShown="0" headerRowDxfId="7" dataDxfId="6">
  <autoFilter ref="A4:G16"/>
  <tableColumns count="7">
    <tableColumn id="1" name="Date" dataDxfId="5"/>
    <tableColumn id="2" name="universal Holding" dataDxfId="4"/>
    <tableColumn id="3" name="Receipt" dataDxfId="3"/>
    <tableColumn id="4" name="Amount Mode" dataDxfId="2"/>
    <tableColumn id="5" name="Amount" dataDxfId="1"/>
    <tableColumn id="6" name="Receipt Status" dataDxfId="0"/>
    <tableColumn id="7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8"/>
  <sheetViews>
    <sheetView tabSelected="1" workbookViewId="0">
      <selection activeCell="B39" sqref="B39"/>
    </sheetView>
  </sheetViews>
  <sheetFormatPr defaultRowHeight="14.4" x14ac:dyDescent="0.3"/>
  <cols>
    <col min="1" max="1" width="11" customWidth="1"/>
    <col min="2" max="2" width="21" customWidth="1"/>
    <col min="3" max="3" width="13.88671875" customWidth="1"/>
    <col min="4" max="4" width="16.33203125" bestFit="1" customWidth="1"/>
    <col min="5" max="5" width="21" bestFit="1" customWidth="1"/>
    <col min="6" max="6" width="16" bestFit="1" customWidth="1"/>
    <col min="7" max="7" width="31.109375" bestFit="1" customWidth="1"/>
  </cols>
  <sheetData>
    <row r="1" spans="1:7" ht="18" x14ac:dyDescent="0.35">
      <c r="A1" s="41" t="s">
        <v>0</v>
      </c>
      <c r="B1" s="41"/>
      <c r="C1" s="41"/>
      <c r="D1" s="41"/>
      <c r="E1" s="41"/>
    </row>
    <row r="2" spans="1:7" ht="18.600000000000001" x14ac:dyDescent="0.45">
      <c r="A2" s="1" t="s">
        <v>1</v>
      </c>
      <c r="B2" s="1"/>
      <c r="C2" s="2"/>
      <c r="D2" s="3"/>
      <c r="E2" s="4"/>
      <c r="F2" s="5"/>
    </row>
    <row r="3" spans="1:7" ht="19.2" x14ac:dyDescent="0.45">
      <c r="A3" s="1"/>
      <c r="B3" s="1"/>
      <c r="C3" s="2"/>
      <c r="D3" s="3"/>
      <c r="E3" s="6">
        <f>SUM(E5:E11)</f>
        <v>38250000</v>
      </c>
      <c r="F3" s="5"/>
    </row>
    <row r="4" spans="1:7" x14ac:dyDescent="0.3">
      <c r="A4" s="7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7" t="s">
        <v>7</v>
      </c>
      <c r="G4" t="s">
        <v>8</v>
      </c>
    </row>
    <row r="5" spans="1:7" x14ac:dyDescent="0.3">
      <c r="A5" s="9">
        <v>46156</v>
      </c>
      <c r="B5" s="7" t="s">
        <v>9</v>
      </c>
      <c r="C5" s="7">
        <v>12900</v>
      </c>
      <c r="D5" s="7" t="s">
        <v>10</v>
      </c>
      <c r="E5" s="10">
        <v>3000000</v>
      </c>
      <c r="F5" s="7" t="s">
        <v>11</v>
      </c>
      <c r="G5" t="s">
        <v>12</v>
      </c>
    </row>
    <row r="6" spans="1:7" x14ac:dyDescent="0.3">
      <c r="A6" s="9">
        <v>46156</v>
      </c>
      <c r="B6" s="7" t="s">
        <v>13</v>
      </c>
      <c r="C6" s="7">
        <v>12911</v>
      </c>
      <c r="D6" s="7" t="s">
        <v>14</v>
      </c>
      <c r="E6" s="10">
        <v>3000000</v>
      </c>
      <c r="F6" s="7" t="s">
        <v>11</v>
      </c>
      <c r="G6" t="s">
        <v>15</v>
      </c>
    </row>
    <row r="7" spans="1:7" x14ac:dyDescent="0.3">
      <c r="A7" s="9">
        <v>46160</v>
      </c>
      <c r="B7" s="7" t="s">
        <v>16</v>
      </c>
      <c r="C7" s="7">
        <v>13206</v>
      </c>
      <c r="D7" s="7" t="s">
        <v>17</v>
      </c>
      <c r="E7" s="10">
        <v>6000000</v>
      </c>
      <c r="F7" s="7" t="s">
        <v>11</v>
      </c>
      <c r="G7" s="11" t="s">
        <v>18</v>
      </c>
    </row>
    <row r="8" spans="1:7" x14ac:dyDescent="0.3">
      <c r="A8" s="9">
        <v>46161</v>
      </c>
      <c r="B8" s="7" t="s">
        <v>9</v>
      </c>
      <c r="C8" s="7">
        <v>13255</v>
      </c>
      <c r="D8" s="7" t="s">
        <v>19</v>
      </c>
      <c r="E8" s="10">
        <v>5000000</v>
      </c>
      <c r="F8" s="7" t="s">
        <v>11</v>
      </c>
      <c r="G8" s="11" t="s">
        <v>20</v>
      </c>
    </row>
    <row r="9" spans="1:7" x14ac:dyDescent="0.3">
      <c r="A9" s="9">
        <v>46161</v>
      </c>
      <c r="B9" s="7" t="s">
        <v>21</v>
      </c>
      <c r="C9" s="7">
        <v>13349</v>
      </c>
      <c r="D9" s="7" t="s">
        <v>17</v>
      </c>
      <c r="E9" s="10">
        <v>5000000</v>
      </c>
      <c r="F9" s="7" t="s">
        <v>11</v>
      </c>
      <c r="G9" s="11" t="s">
        <v>22</v>
      </c>
    </row>
    <row r="10" spans="1:7" x14ac:dyDescent="0.3">
      <c r="A10" s="9">
        <v>46163</v>
      </c>
      <c r="B10" s="7" t="s">
        <v>13</v>
      </c>
      <c r="C10" s="7">
        <v>133558</v>
      </c>
      <c r="D10" s="7" t="s">
        <v>14</v>
      </c>
      <c r="E10" s="10">
        <v>2250000</v>
      </c>
      <c r="F10" s="7" t="s">
        <v>11</v>
      </c>
      <c r="G10" t="s">
        <v>23</v>
      </c>
    </row>
    <row r="11" spans="1:7" x14ac:dyDescent="0.3">
      <c r="A11" s="9">
        <v>46164</v>
      </c>
      <c r="B11" s="7" t="s">
        <v>24</v>
      </c>
      <c r="C11" s="7">
        <v>13732</v>
      </c>
      <c r="D11" s="7" t="s">
        <v>25</v>
      </c>
      <c r="E11" s="10">
        <v>14000000</v>
      </c>
      <c r="F11" s="7" t="s">
        <v>11</v>
      </c>
      <c r="G11" t="s">
        <v>26</v>
      </c>
    </row>
    <row r="12" spans="1:7" x14ac:dyDescent="0.3">
      <c r="A12" s="7"/>
      <c r="B12" s="7"/>
      <c r="C12" s="7"/>
      <c r="D12" s="7"/>
      <c r="E12" s="10"/>
      <c r="F12" s="7"/>
    </row>
    <row r="13" spans="1:7" x14ac:dyDescent="0.3">
      <c r="A13" s="7"/>
      <c r="B13" s="7"/>
      <c r="C13" s="7"/>
      <c r="D13" s="7"/>
      <c r="E13" s="10"/>
      <c r="F13" s="7"/>
    </row>
    <row r="14" spans="1:7" x14ac:dyDescent="0.3">
      <c r="A14" s="7"/>
      <c r="B14" s="7"/>
      <c r="C14" s="7"/>
      <c r="D14" s="7"/>
      <c r="E14" s="10"/>
      <c r="F14" s="7"/>
    </row>
    <row r="15" spans="1:7" x14ac:dyDescent="0.3">
      <c r="A15" s="12">
        <v>46155</v>
      </c>
      <c r="B15" s="13" t="s">
        <v>27</v>
      </c>
      <c r="C15" s="13"/>
      <c r="D15" s="13" t="s">
        <v>28</v>
      </c>
      <c r="E15" s="14">
        <v>9000000</v>
      </c>
      <c r="F15" s="13"/>
      <c r="G15" s="15" t="s">
        <v>29</v>
      </c>
    </row>
    <row r="16" spans="1:7" x14ac:dyDescent="0.3">
      <c r="A16" s="16" t="s">
        <v>30</v>
      </c>
      <c r="B16" s="13" t="s">
        <v>27</v>
      </c>
      <c r="C16" s="13"/>
      <c r="D16" s="13" t="s">
        <v>28</v>
      </c>
      <c r="E16" s="14">
        <v>40000000</v>
      </c>
      <c r="F16" s="13"/>
      <c r="G16" s="15" t="s">
        <v>31</v>
      </c>
    </row>
    <row r="17" spans="1:5" x14ac:dyDescent="0.3">
      <c r="E17" s="17"/>
    </row>
    <row r="18" spans="1:5" ht="18.600000000000001" x14ac:dyDescent="0.45">
      <c r="E18" s="18">
        <f>SUM(E15:E16)</f>
        <v>49000000</v>
      </c>
    </row>
    <row r="19" spans="1:5" x14ac:dyDescent="0.3">
      <c r="E19" s="17"/>
    </row>
    <row r="21" spans="1:5" x14ac:dyDescent="0.3">
      <c r="E21" s="17"/>
    </row>
    <row r="22" spans="1:5" ht="15.6" x14ac:dyDescent="0.3">
      <c r="A22" s="19" t="s">
        <v>32</v>
      </c>
      <c r="B22" s="19"/>
      <c r="C22" s="20"/>
    </row>
    <row r="23" spans="1:5" ht="15.6" x14ac:dyDescent="0.3">
      <c r="A23" s="21" t="s">
        <v>33</v>
      </c>
      <c r="B23" s="21" t="s">
        <v>8</v>
      </c>
      <c r="C23" s="22" t="s">
        <v>6</v>
      </c>
    </row>
    <row r="24" spans="1:5" ht="15.6" x14ac:dyDescent="0.3">
      <c r="A24" s="23">
        <v>1</v>
      </c>
      <c r="B24" t="s">
        <v>34</v>
      </c>
      <c r="C24" s="24">
        <v>3000000</v>
      </c>
      <c r="D24" t="s">
        <v>35</v>
      </c>
    </row>
    <row r="25" spans="1:5" ht="15.6" x14ac:dyDescent="0.3">
      <c r="A25" s="23">
        <v>2</v>
      </c>
      <c r="B25" t="s">
        <v>36</v>
      </c>
      <c r="C25" s="24">
        <v>5000000</v>
      </c>
      <c r="D25" t="s">
        <v>37</v>
      </c>
    </row>
    <row r="26" spans="1:5" ht="15.6" x14ac:dyDescent="0.3">
      <c r="A26" s="23">
        <v>3</v>
      </c>
      <c r="B26" t="s">
        <v>38</v>
      </c>
      <c r="C26" s="24">
        <v>1000000</v>
      </c>
      <c r="D26" s="25" t="s">
        <v>39</v>
      </c>
    </row>
    <row r="27" spans="1:5" x14ac:dyDescent="0.3">
      <c r="A27" s="26"/>
      <c r="C27" s="27"/>
    </row>
    <row r="28" spans="1:5" x14ac:dyDescent="0.3">
      <c r="C28" s="27"/>
    </row>
    <row r="29" spans="1:5" ht="15.6" x14ac:dyDescent="0.3">
      <c r="B29" s="28" t="s">
        <v>40</v>
      </c>
      <c r="C29" s="29">
        <f>SUM(C24:C25)</f>
        <v>8000000</v>
      </c>
    </row>
    <row r="31" spans="1:5" ht="15.6" x14ac:dyDescent="0.3">
      <c r="A31" s="30" t="s">
        <v>33</v>
      </c>
      <c r="B31" s="30" t="s">
        <v>8</v>
      </c>
      <c r="C31" s="30" t="s">
        <v>6</v>
      </c>
    </row>
    <row r="32" spans="1:5" ht="15.6" x14ac:dyDescent="0.3">
      <c r="A32" s="23">
        <v>1</v>
      </c>
      <c r="B32" s="31" t="s">
        <v>41</v>
      </c>
      <c r="C32" s="24">
        <v>1000000</v>
      </c>
    </row>
    <row r="33" spans="1:4" ht="15.6" x14ac:dyDescent="0.3">
      <c r="A33" s="23">
        <v>2</v>
      </c>
      <c r="B33" s="32" t="s">
        <v>26</v>
      </c>
      <c r="C33" s="24">
        <v>14000000</v>
      </c>
    </row>
    <row r="34" spans="1:4" x14ac:dyDescent="0.3">
      <c r="A34" s="23">
        <v>3</v>
      </c>
      <c r="C34" s="27"/>
    </row>
    <row r="35" spans="1:4" x14ac:dyDescent="0.3">
      <c r="A35" s="23">
        <v>4</v>
      </c>
      <c r="C35" s="17"/>
    </row>
    <row r="36" spans="1:4" ht="15.6" x14ac:dyDescent="0.3">
      <c r="A36" s="23"/>
      <c r="B36" s="28" t="s">
        <v>42</v>
      </c>
      <c r="C36" s="29">
        <f>SUM(C32:C34)</f>
        <v>15000000</v>
      </c>
    </row>
    <row r="38" spans="1:4" ht="15.6" x14ac:dyDescent="0.3">
      <c r="A38" s="30" t="s">
        <v>33</v>
      </c>
      <c r="B38" s="30" t="s">
        <v>8</v>
      </c>
      <c r="C38" s="30" t="s">
        <v>6</v>
      </c>
    </row>
    <row r="39" spans="1:4" ht="15.6" x14ac:dyDescent="0.3">
      <c r="A39" s="23">
        <v>1</v>
      </c>
      <c r="B39" s="31" t="s">
        <v>43</v>
      </c>
      <c r="C39" s="24">
        <v>5000000</v>
      </c>
      <c r="D39" t="s">
        <v>44</v>
      </c>
    </row>
    <row r="40" spans="1:4" ht="15.6" x14ac:dyDescent="0.3">
      <c r="A40" s="23">
        <v>2</v>
      </c>
      <c r="B40" s="11" t="s">
        <v>45</v>
      </c>
      <c r="C40" s="33">
        <v>5000000</v>
      </c>
      <c r="D40" t="s">
        <v>46</v>
      </c>
    </row>
    <row r="41" spans="1:4" ht="15.6" x14ac:dyDescent="0.3">
      <c r="A41" s="23">
        <v>3</v>
      </c>
      <c r="B41" t="s">
        <v>47</v>
      </c>
      <c r="C41" s="24">
        <v>700000</v>
      </c>
      <c r="D41" s="25" t="s">
        <v>48</v>
      </c>
    </row>
    <row r="42" spans="1:4" x14ac:dyDescent="0.3">
      <c r="A42" s="23"/>
    </row>
    <row r="43" spans="1:4" x14ac:dyDescent="0.3">
      <c r="A43" s="23"/>
    </row>
    <row r="44" spans="1:4" ht="15.6" x14ac:dyDescent="0.3">
      <c r="B44" s="34" t="s">
        <v>49</v>
      </c>
      <c r="C44" s="29">
        <f>SUM(C39:C40)</f>
        <v>10000000</v>
      </c>
    </row>
    <row r="46" spans="1:4" ht="15.6" x14ac:dyDescent="0.3">
      <c r="A46" s="30" t="s">
        <v>33</v>
      </c>
      <c r="B46" s="30" t="s">
        <v>8</v>
      </c>
      <c r="C46" s="30" t="s">
        <v>6</v>
      </c>
    </row>
    <row r="47" spans="1:4" ht="15.6" x14ac:dyDescent="0.3">
      <c r="A47" s="23">
        <v>1</v>
      </c>
      <c r="B47" t="s">
        <v>50</v>
      </c>
      <c r="C47" s="24">
        <v>3000000</v>
      </c>
    </row>
    <row r="48" spans="1:4" ht="15.6" x14ac:dyDescent="0.3">
      <c r="A48" s="23">
        <v>2</v>
      </c>
      <c r="B48" s="31" t="s">
        <v>51</v>
      </c>
      <c r="C48" s="24">
        <v>2250000</v>
      </c>
    </row>
    <row r="49" spans="1:4" ht="15.6" x14ac:dyDescent="0.3">
      <c r="A49" s="23">
        <v>3</v>
      </c>
      <c r="B49" s="35" t="s">
        <v>52</v>
      </c>
      <c r="C49" s="24">
        <v>1000000</v>
      </c>
      <c r="D49" s="25" t="s">
        <v>53</v>
      </c>
    </row>
    <row r="50" spans="1:4" ht="15.6" x14ac:dyDescent="0.3">
      <c r="A50" s="23">
        <v>4</v>
      </c>
      <c r="B50" s="35" t="s">
        <v>54</v>
      </c>
      <c r="C50" s="24">
        <v>200000</v>
      </c>
      <c r="D50" s="25" t="s">
        <v>53</v>
      </c>
    </row>
    <row r="51" spans="1:4" ht="15.6" x14ac:dyDescent="0.3">
      <c r="A51" s="23">
        <v>5</v>
      </c>
      <c r="B51" t="s">
        <v>55</v>
      </c>
      <c r="C51" s="36">
        <v>200000</v>
      </c>
      <c r="D51" s="25" t="s">
        <v>56</v>
      </c>
    </row>
    <row r="52" spans="1:4" ht="15.6" x14ac:dyDescent="0.3">
      <c r="A52" s="23">
        <v>6</v>
      </c>
      <c r="B52" t="s">
        <v>55</v>
      </c>
      <c r="C52" s="36">
        <v>100000</v>
      </c>
      <c r="D52" s="25" t="s">
        <v>56</v>
      </c>
    </row>
    <row r="53" spans="1:4" x14ac:dyDescent="0.3">
      <c r="A53" s="23"/>
    </row>
    <row r="54" spans="1:4" ht="15.6" x14ac:dyDescent="0.3">
      <c r="B54" s="34" t="s">
        <v>57</v>
      </c>
      <c r="C54" s="29">
        <f>SUM(C47:C48)</f>
        <v>5250000</v>
      </c>
    </row>
    <row r="55" spans="1:4" x14ac:dyDescent="0.3">
      <c r="B55" s="37" t="s">
        <v>58</v>
      </c>
      <c r="C55" s="38">
        <f>SUM(C47:C52)</f>
        <v>6750000</v>
      </c>
    </row>
    <row r="58" spans="1:4" ht="18" x14ac:dyDescent="0.35">
      <c r="B58" s="39" t="s">
        <v>59</v>
      </c>
      <c r="C58" s="40">
        <f>C29+C36+C44+C54</f>
        <v>38250000</v>
      </c>
    </row>
  </sheetData>
  <mergeCells count="1">
    <mergeCell ref="A1:E1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MARKETING</dc:creator>
  <cp:lastModifiedBy>AA-A</cp:lastModifiedBy>
  <dcterms:created xsi:type="dcterms:W3CDTF">2026-06-03T14:45:29Z</dcterms:created>
  <dcterms:modified xsi:type="dcterms:W3CDTF">2026-06-18T10:18:34Z</dcterms:modified>
</cp:coreProperties>
</file>