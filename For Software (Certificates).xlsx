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H_CRM\"/>
    </mc:Choice>
  </mc:AlternateContent>
  <bookViews>
    <workbookView xWindow="0" yWindow="0" windowWidth="20496" windowHeight="7752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9" i="1" l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J113" i="1"/>
  <c r="I113" i="1"/>
  <c r="I112" i="1"/>
  <c r="J112" i="1" s="1"/>
  <c r="I111" i="1"/>
  <c r="J111" i="1" s="1"/>
  <c r="I110" i="1"/>
  <c r="J110" i="1" s="1"/>
  <c r="I109" i="1"/>
  <c r="J109" i="1" s="1"/>
  <c r="I108" i="1"/>
  <c r="J108" i="1" s="1"/>
  <c r="A108" i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I107" i="1"/>
  <c r="J107" i="1" s="1"/>
  <c r="J106" i="1"/>
  <c r="I106" i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J98" i="1"/>
  <c r="I98" i="1"/>
  <c r="I97" i="1"/>
  <c r="J97" i="1" s="1"/>
  <c r="I96" i="1"/>
  <c r="J96" i="1" s="1"/>
  <c r="I95" i="1"/>
  <c r="J95" i="1" s="1"/>
  <c r="I94" i="1"/>
  <c r="J94" i="1" s="1"/>
  <c r="I93" i="1"/>
  <c r="J93" i="1" s="1"/>
  <c r="J92" i="1"/>
  <c r="I92" i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J81" i="1"/>
  <c r="I81" i="1"/>
  <c r="I80" i="1"/>
  <c r="J80" i="1" s="1"/>
  <c r="I79" i="1"/>
  <c r="J79" i="1" s="1"/>
  <c r="I78" i="1"/>
  <c r="J78" i="1" s="1"/>
  <c r="I77" i="1"/>
  <c r="J77" i="1" s="1"/>
  <c r="J76" i="1"/>
  <c r="I76" i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J65" i="1"/>
  <c r="I65" i="1"/>
  <c r="I64" i="1"/>
  <c r="J64" i="1" s="1"/>
  <c r="I63" i="1"/>
  <c r="J63" i="1" s="1"/>
  <c r="I62" i="1"/>
  <c r="J62" i="1" s="1"/>
  <c r="I61" i="1"/>
  <c r="J61" i="1" s="1"/>
  <c r="J60" i="1"/>
  <c r="I60" i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J49" i="1"/>
  <c r="I49" i="1"/>
  <c r="I48" i="1"/>
  <c r="J48" i="1" s="1"/>
  <c r="I47" i="1"/>
  <c r="J47" i="1" s="1"/>
  <c r="I46" i="1"/>
  <c r="J46" i="1" s="1"/>
  <c r="I45" i="1"/>
  <c r="J45" i="1" s="1"/>
  <c r="J44" i="1"/>
  <c r="I44" i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J36" i="1"/>
  <c r="I36" i="1"/>
  <c r="I35" i="1"/>
  <c r="J35" i="1" s="1"/>
  <c r="I34" i="1"/>
  <c r="J34" i="1" s="1"/>
  <c r="J33" i="1"/>
  <c r="I33" i="1"/>
  <c r="I32" i="1"/>
  <c r="J32" i="1" s="1"/>
  <c r="I31" i="1"/>
  <c r="J31" i="1" s="1"/>
  <c r="I30" i="1"/>
  <c r="J30" i="1" s="1"/>
  <c r="I29" i="1"/>
  <c r="J29" i="1" s="1"/>
  <c r="J28" i="1"/>
  <c r="I28" i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J20" i="1"/>
  <c r="I20" i="1"/>
  <c r="I19" i="1"/>
  <c r="J19" i="1" s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I18" i="1"/>
  <c r="J18" i="1" s="1"/>
  <c r="H16" i="1"/>
  <c r="B13" i="1"/>
  <c r="B12" i="1"/>
  <c r="B11" i="1"/>
  <c r="B10" i="1"/>
  <c r="B9" i="1"/>
  <c r="B8" i="1"/>
  <c r="B7" i="1"/>
  <c r="B6" i="1"/>
  <c r="G5" i="1"/>
  <c r="E3" i="1"/>
  <c r="J2" i="1" s="1"/>
  <c r="B3" i="1" l="1"/>
  <c r="J16" i="1"/>
  <c r="K16" i="1"/>
  <c r="I2" i="1"/>
  <c r="I4" i="1" s="1"/>
  <c r="I16" i="1"/>
  <c r="J4" i="1" s="1"/>
  <c r="F5" i="1" s="1"/>
</calcChain>
</file>

<file path=xl/sharedStrings.xml><?xml version="1.0" encoding="utf-8"?>
<sst xmlns="http://schemas.openxmlformats.org/spreadsheetml/2006/main" count="641" uniqueCount="266">
  <si>
    <t>NON TRADABLE FORM CERTIFICATE  APR-2026</t>
  </si>
  <si>
    <t>Capital In Company A/C</t>
  </si>
  <si>
    <t>Investment Amt</t>
  </si>
  <si>
    <t>Total Form</t>
  </si>
  <si>
    <t>Balance In Company A/C</t>
  </si>
  <si>
    <t>Investment Bal</t>
  </si>
  <si>
    <t>Date</t>
  </si>
  <si>
    <t>Qty of forms</t>
  </si>
  <si>
    <t>Purchase amount of each form</t>
  </si>
  <si>
    <t>Receipt/Slip #</t>
  </si>
  <si>
    <t>Total Amount</t>
  </si>
  <si>
    <t>Balance in company account</t>
  </si>
  <si>
    <t>Amount Adjustment in Plot</t>
  </si>
  <si>
    <t>------</t>
  </si>
  <si>
    <t>Online By Azam</t>
  </si>
  <si>
    <t>Cash Umar Khan</t>
  </si>
  <si>
    <t>Perevious Form Balance</t>
  </si>
  <si>
    <t>Online by Murtaza</t>
  </si>
  <si>
    <t>From Advance</t>
  </si>
  <si>
    <t xml:space="preserve">  </t>
  </si>
  <si>
    <t>QTY OF FORM</t>
  </si>
  <si>
    <t>Remaining Form</t>
  </si>
  <si>
    <t>S.no</t>
  </si>
  <si>
    <t>Plot</t>
  </si>
  <si>
    <t>Block</t>
  </si>
  <si>
    <t>Size</t>
  </si>
  <si>
    <t>Receipt</t>
  </si>
  <si>
    <t>Estate/Office</t>
  </si>
  <si>
    <t>Installment</t>
  </si>
  <si>
    <t>Investment Value</t>
  </si>
  <si>
    <t>Form Qty</t>
  </si>
  <si>
    <t>Slip Own</t>
  </si>
  <si>
    <t>Slip Status</t>
  </si>
  <si>
    <t>E</t>
  </si>
  <si>
    <t>5M (Invest &amp; Own)</t>
  </si>
  <si>
    <t>CADN-3020</t>
  </si>
  <si>
    <t>Faisal Ahmed</t>
  </si>
  <si>
    <t>Azam</t>
  </si>
  <si>
    <t>Given to Abdur Rehman</t>
  </si>
  <si>
    <t>D</t>
  </si>
  <si>
    <t>10M (Invest &amp; Own)</t>
  </si>
  <si>
    <t>CADN-2978</t>
  </si>
  <si>
    <t>Ghulam Qadir</t>
  </si>
  <si>
    <t>CADN-2979</t>
  </si>
  <si>
    <t>Given to Abeur Rehman</t>
  </si>
  <si>
    <t>5M</t>
  </si>
  <si>
    <t>CADN-3016</t>
  </si>
  <si>
    <t>Arsalaan Altaf</t>
  </si>
  <si>
    <t>Hafiz Shahid</t>
  </si>
  <si>
    <t>Given to Shahid</t>
  </si>
  <si>
    <t>C</t>
  </si>
  <si>
    <t>CADN-3015</t>
  </si>
  <si>
    <t>Sheikh Waheed</t>
  </si>
  <si>
    <t>Givcn to Shahid</t>
  </si>
  <si>
    <t>CADN-3103</t>
  </si>
  <si>
    <t>Invest &amp; Own</t>
  </si>
  <si>
    <t>Given to Abdul Rehman</t>
  </si>
  <si>
    <t>CADN-2980</t>
  </si>
  <si>
    <t>Universal Holding</t>
  </si>
  <si>
    <t>Given to Ali Raza</t>
  </si>
  <si>
    <t>A</t>
  </si>
  <si>
    <t>3M (Saleem)</t>
  </si>
  <si>
    <t>CADN-2977</t>
  </si>
  <si>
    <t>IJ Estate</t>
  </si>
  <si>
    <t>Adil Siraj</t>
  </si>
  <si>
    <t>Given to Mudassir</t>
  </si>
  <si>
    <t>5M (Saleem)</t>
  </si>
  <si>
    <t>CADN-2976</t>
  </si>
  <si>
    <t>HA-Marketing</t>
  </si>
  <si>
    <t>A-E</t>
  </si>
  <si>
    <t>CADN-2975</t>
  </si>
  <si>
    <t>Zulfiqar</t>
  </si>
  <si>
    <t>CADN-2974</t>
  </si>
  <si>
    <t>M.Asim Iqbal</t>
  </si>
  <si>
    <t>3M(U.G-20093)</t>
  </si>
  <si>
    <t>DINS-6221</t>
  </si>
  <si>
    <t>M.Shahid</t>
  </si>
  <si>
    <t>Given to client</t>
  </si>
  <si>
    <t>CADN-3027</t>
  </si>
  <si>
    <t>M.Akram</t>
  </si>
  <si>
    <t>Murtaza</t>
  </si>
  <si>
    <t>Given to Murtaza</t>
  </si>
  <si>
    <t>ULA-11148</t>
  </si>
  <si>
    <t>A (Appartment)</t>
  </si>
  <si>
    <t>1264-Sqft</t>
  </si>
  <si>
    <t>DINS-6220</t>
  </si>
  <si>
    <t>M.Zahid</t>
  </si>
  <si>
    <t>6M (Commercial)</t>
  </si>
  <si>
    <t>CADN-3028</t>
  </si>
  <si>
    <t>Umme Farwah</t>
  </si>
  <si>
    <t>CADN-3029</t>
  </si>
  <si>
    <t>CADN-3030</t>
  </si>
  <si>
    <t>Salman Mohsin</t>
  </si>
  <si>
    <t>5M (Residential)</t>
  </si>
  <si>
    <t>CADN-3031</t>
  </si>
  <si>
    <t>Mahern Un Nisa</t>
  </si>
  <si>
    <t>Given to Usman</t>
  </si>
  <si>
    <t>CADN-3075</t>
  </si>
  <si>
    <t>CADN-3024</t>
  </si>
  <si>
    <t>Zain</t>
  </si>
  <si>
    <t>Given to Abdullah</t>
  </si>
  <si>
    <t>CADN-3026</t>
  </si>
  <si>
    <t>CADN-3022</t>
  </si>
  <si>
    <t>CADN-3023</t>
  </si>
  <si>
    <t>Shafiq Ahmad</t>
  </si>
  <si>
    <t>CADN-3025</t>
  </si>
  <si>
    <t>Ehsanullah</t>
  </si>
  <si>
    <t>CADN-2982</t>
  </si>
  <si>
    <t>Chatha P.A</t>
  </si>
  <si>
    <t>Given to Client</t>
  </si>
  <si>
    <t>B</t>
  </si>
  <si>
    <t>3M (Excess Land)</t>
  </si>
  <si>
    <t>DINS-6223</t>
  </si>
  <si>
    <t>Mushtaq Husain</t>
  </si>
  <si>
    <t>3M (Possession)</t>
  </si>
  <si>
    <t>CNCHG-123</t>
  </si>
  <si>
    <t>CADN-3039</t>
  </si>
  <si>
    <t>Punjab Real Estate</t>
  </si>
  <si>
    <t>CADN-3038</t>
  </si>
  <si>
    <t>Surrya Ashiq</t>
  </si>
  <si>
    <t>CADN-3074</t>
  </si>
  <si>
    <t>Given to Adil</t>
  </si>
  <si>
    <t>CADN-3073</t>
  </si>
  <si>
    <t>CADN-3071</t>
  </si>
  <si>
    <t>1-Kanal</t>
  </si>
  <si>
    <t>CADN-3077</t>
  </si>
  <si>
    <t>Ahmed Fayyaz</t>
  </si>
  <si>
    <t>3M</t>
  </si>
  <si>
    <t>CADN-3076</t>
  </si>
  <si>
    <t>A &amp; H Real Estate</t>
  </si>
  <si>
    <t>A (U.G-1)</t>
  </si>
  <si>
    <t>3M(Excess Land)</t>
  </si>
  <si>
    <t>DINS-6224</t>
  </si>
  <si>
    <t>M.Nadeem</t>
  </si>
  <si>
    <t>CNCHG-124</t>
  </si>
  <si>
    <t>CADN-3078</t>
  </si>
  <si>
    <t>CADN-3109</t>
  </si>
  <si>
    <t>Estem Properties</t>
  </si>
  <si>
    <t>DINS-6257</t>
  </si>
  <si>
    <t>Shahid Saleem</t>
  </si>
  <si>
    <t>3M(Possession)</t>
  </si>
  <si>
    <t>CNCHG-129</t>
  </si>
  <si>
    <t>CADN-3111</t>
  </si>
  <si>
    <t>CADN-3098</t>
  </si>
  <si>
    <t>Wali Estate</t>
  </si>
  <si>
    <t>CADN-3110</t>
  </si>
  <si>
    <t>Fatima Yousuf</t>
  </si>
  <si>
    <t>Umar Khan</t>
  </si>
  <si>
    <t>Given to Umar</t>
  </si>
  <si>
    <t>CADN-3149</t>
  </si>
  <si>
    <t>Malik M.Wali</t>
  </si>
  <si>
    <t>Given to Umair</t>
  </si>
  <si>
    <t>CADN-3122</t>
  </si>
  <si>
    <t>Fair Deal</t>
  </si>
  <si>
    <t>Given to Abu Bakar</t>
  </si>
  <si>
    <t>CADN-3124</t>
  </si>
  <si>
    <t>Najaf Estate</t>
  </si>
  <si>
    <t>CADN-3123</t>
  </si>
  <si>
    <t>Faiza Ashfaq</t>
  </si>
  <si>
    <t>CADN-3176</t>
  </si>
  <si>
    <t>Syed Ahtzaz</t>
  </si>
  <si>
    <t>CADN-3197</t>
  </si>
  <si>
    <t>M.Haroon</t>
  </si>
  <si>
    <t>CADN-3177</t>
  </si>
  <si>
    <t>CADN-3196</t>
  </si>
  <si>
    <t>M.Ashraf</t>
  </si>
  <si>
    <t>CADN-3180</t>
  </si>
  <si>
    <t>M.Jameel</t>
  </si>
  <si>
    <t>Goven to Abdullah</t>
  </si>
  <si>
    <t>CADN-3179</t>
  </si>
  <si>
    <t>Rana Associate</t>
  </si>
  <si>
    <t>CADN-3182</t>
  </si>
  <si>
    <t>Fit Marketing</t>
  </si>
  <si>
    <t>CADN-3183</t>
  </si>
  <si>
    <t>Bushra Raheel</t>
  </si>
  <si>
    <t>CADN-3175</t>
  </si>
  <si>
    <t>RB Estate</t>
  </si>
  <si>
    <t>CADN-3181</t>
  </si>
  <si>
    <t>Desire Associate</t>
  </si>
  <si>
    <t>CADN-3184</t>
  </si>
  <si>
    <t>Malik Azhar</t>
  </si>
  <si>
    <t>3M(UG-II)</t>
  </si>
  <si>
    <t>DINS-6248</t>
  </si>
  <si>
    <t>Chaudhry Estate</t>
  </si>
  <si>
    <t>DINS-6247</t>
  </si>
  <si>
    <t>CADN-3185</t>
  </si>
  <si>
    <t>CADN-3178</t>
  </si>
  <si>
    <t>Sajid Naveed</t>
  </si>
  <si>
    <t>CADN-3151</t>
  </si>
  <si>
    <t>Samreen fatima</t>
  </si>
  <si>
    <t>5M(Etihad Town)</t>
  </si>
  <si>
    <t>Jhangir</t>
  </si>
  <si>
    <t>5M (UG-II)</t>
  </si>
  <si>
    <t>DINS-6250</t>
  </si>
  <si>
    <t>CADN-3250</t>
  </si>
  <si>
    <t>M.Saleem</t>
  </si>
  <si>
    <t>Givwn to Shan</t>
  </si>
  <si>
    <t>CADN-3249</t>
  </si>
  <si>
    <t>M.Usman</t>
  </si>
  <si>
    <t>Available</t>
  </si>
  <si>
    <t>CADN-3277</t>
  </si>
  <si>
    <t>Millenium</t>
  </si>
  <si>
    <t>CADN-3278</t>
  </si>
  <si>
    <t>Abdul Manan</t>
  </si>
  <si>
    <t>B(UL-13291)</t>
  </si>
  <si>
    <t>7.66M</t>
  </si>
  <si>
    <t>DINS-6251</t>
  </si>
  <si>
    <t>M.Mudassar</t>
  </si>
  <si>
    <t>CADN-3252</t>
  </si>
  <si>
    <t>Adnan Yaqoob</t>
  </si>
  <si>
    <t>CADN-3251</t>
  </si>
  <si>
    <t>Javeria Latif</t>
  </si>
  <si>
    <t>CADN-3265</t>
  </si>
  <si>
    <t>B(UG-II)</t>
  </si>
  <si>
    <t>DINS-6256</t>
  </si>
  <si>
    <t>CADN-3276</t>
  </si>
  <si>
    <t>Millinium Group</t>
  </si>
  <si>
    <t>Given to Zulfi</t>
  </si>
  <si>
    <t>10M</t>
  </si>
  <si>
    <t>CADN-3279</t>
  </si>
  <si>
    <t>Haseeb Munwar</t>
  </si>
  <si>
    <t>CADN-6255</t>
  </si>
  <si>
    <t>Abdul Haseeb</t>
  </si>
  <si>
    <t>Given to A.Rehman</t>
  </si>
  <si>
    <t>D(Etihad Town)</t>
  </si>
  <si>
    <t>Saamia Akram</t>
  </si>
  <si>
    <t>Given to Ishtiaq</t>
  </si>
  <si>
    <t>CADN-3291</t>
  </si>
  <si>
    <t>Hamza Zarif</t>
  </si>
  <si>
    <t>CADN-3292</t>
  </si>
  <si>
    <t>CADN-3290</t>
  </si>
  <si>
    <t>M.Hanif</t>
  </si>
  <si>
    <t>CADN-3308</t>
  </si>
  <si>
    <t>Badshah</t>
  </si>
  <si>
    <t>CADN-3309</t>
  </si>
  <si>
    <t>CADN-3310</t>
  </si>
  <si>
    <t>CADN-3311</t>
  </si>
  <si>
    <t>Al-Rehmat</t>
  </si>
  <si>
    <t>CADN-3312</t>
  </si>
  <si>
    <t>CADN-3313</t>
  </si>
  <si>
    <t>CADN-3314</t>
  </si>
  <si>
    <t>CADN-3315</t>
  </si>
  <si>
    <t>Ask Marketing</t>
  </si>
  <si>
    <t>CADN-3426</t>
  </si>
  <si>
    <t>Nouman Hassan</t>
  </si>
  <si>
    <t>CADN-3396</t>
  </si>
  <si>
    <t>Al-Haram</t>
  </si>
  <si>
    <t>CADN-3397</t>
  </si>
  <si>
    <t>Mian Ali</t>
  </si>
  <si>
    <t>CADN-3398</t>
  </si>
  <si>
    <t>CADN-3420</t>
  </si>
  <si>
    <t>Tariq Mehmood</t>
  </si>
  <si>
    <t>CADN-3427</t>
  </si>
  <si>
    <t>ULA-10293</t>
  </si>
  <si>
    <t>B Tower</t>
  </si>
  <si>
    <t>477-Sqft</t>
  </si>
  <si>
    <t>DINS-6262</t>
  </si>
  <si>
    <t>Haroon Shahzad</t>
  </si>
  <si>
    <t>CADN-3494</t>
  </si>
  <si>
    <t>J-C</t>
  </si>
  <si>
    <t>CADN-3769</t>
  </si>
  <si>
    <t>Azam+Murtaza+Adil</t>
  </si>
  <si>
    <t>Given to Zeeshan</t>
  </si>
  <si>
    <t>Rabia Asghar</t>
  </si>
  <si>
    <t>CADN-3768</t>
  </si>
  <si>
    <t>Salar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</si>
</sst>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 ;[Red]\-#,##0\ 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indexed="8"/>
      <name val="Arial Black"/>
      <family val="2"/>
    </font>
    <font>
      <b/>
      <sz val="15"/>
      <name val="Arial Black"/>
      <family val="2"/>
    </font>
    <font>
      <b/>
      <sz val="15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0070C0"/>
      <name val="Arial Black"/>
      <family val="2"/>
    </font>
    <font>
      <b/>
      <sz val="11"/>
      <color theme="9" tint="-0.499984740745262"/>
      <name val="Arial Black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3" fontId="6" fillId="0" borderId="5" xfId="0" applyNumberFormat="1" applyFont="1" applyFill="1" applyBorder="1" applyAlignment="1">
      <alignment horizontal="center" vertical="center"/>
    </xf>
    <xf numFmtId="3" fontId="6" fillId="0" borderId="6" xfId="0" applyNumberFormat="1" applyFont="1" applyFill="1" applyBorder="1" applyAlignment="1">
      <alignment horizontal="center" vertical="center"/>
    </xf>
    <xf numFmtId="0" fontId="0" fillId="0" borderId="0" xfId="0" applyFill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8" fillId="4" borderId="7" xfId="0" applyNumberFormat="1" applyFont="1" applyFill="1" applyBorder="1" applyAlignment="1">
      <alignment horizontal="center" vertical="center"/>
    </xf>
    <xf numFmtId="164" fontId="8" fillId="0" borderId="0" xfId="0" applyNumberFormat="1" applyFont="1" applyFill="1"/>
    <xf numFmtId="0" fontId="1" fillId="3" borderId="5" xfId="0" applyFont="1" applyFill="1" applyBorder="1" applyAlignment="1">
      <alignment horizontal="center" wrapText="1"/>
    </xf>
    <xf numFmtId="3" fontId="1" fillId="3" borderId="6" xfId="0" applyNumberFormat="1" applyFont="1" applyFill="1" applyBorder="1" applyAlignment="1">
      <alignment vertical="center"/>
    </xf>
    <xf numFmtId="3" fontId="8" fillId="0" borderId="0" xfId="0" applyNumberFormat="1" applyFont="1"/>
    <xf numFmtId="0" fontId="2" fillId="5" borderId="1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3" fontId="6" fillId="0" borderId="9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16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quotePrefix="1" applyAlignment="1">
      <alignment horizontal="center" wrapText="1"/>
    </xf>
    <xf numFmtId="3" fontId="2" fillId="0" borderId="0" xfId="0" applyNumberFormat="1" applyFont="1" applyAlignment="1">
      <alignment wrapText="1"/>
    </xf>
    <xf numFmtId="3" fontId="7" fillId="2" borderId="0" xfId="0" applyNumberFormat="1" applyFont="1" applyFill="1" applyAlignment="1">
      <alignment wrapText="1"/>
    </xf>
    <xf numFmtId="15" fontId="0" fillId="0" borderId="0" xfId="0" applyNumberFormat="1"/>
    <xf numFmtId="3" fontId="2" fillId="0" borderId="0" xfId="0" applyNumberFormat="1" applyFont="1"/>
    <xf numFmtId="3" fontId="7" fillId="0" borderId="0" xfId="0" applyNumberFormat="1" applyFont="1" applyFill="1" applyAlignment="1">
      <alignment wrapText="1"/>
    </xf>
    <xf numFmtId="0" fontId="2" fillId="0" borderId="0" xfId="0" applyFont="1"/>
    <xf numFmtId="3" fontId="7" fillId="6" borderId="0" xfId="0" applyNumberFormat="1" applyFont="1" applyFill="1"/>
    <xf numFmtId="3" fontId="9" fillId="6" borderId="0" xfId="0" applyNumberFormat="1" applyFont="1" applyFill="1"/>
    <xf numFmtId="0" fontId="10" fillId="0" borderId="0" xfId="0" applyFont="1" applyAlignment="1">
      <alignment horizontal="center"/>
    </xf>
    <xf numFmtId="0" fontId="11" fillId="0" borderId="0" xfId="0" applyFont="1"/>
    <xf numFmtId="0" fontId="12" fillId="7" borderId="11" xfId="0" applyFont="1" applyFill="1" applyBorder="1" applyAlignment="1">
      <alignment horizontal="center" vertical="center"/>
    </xf>
    <xf numFmtId="15" fontId="12" fillId="7" borderId="11" xfId="0" applyNumberFormat="1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vertical="center"/>
    </xf>
    <xf numFmtId="3" fontId="12" fillId="7" borderId="11" xfId="0" applyNumberFormat="1" applyFont="1" applyFill="1" applyBorder="1" applyAlignment="1">
      <alignment vertical="center" wrapText="1"/>
    </xf>
    <xf numFmtId="3" fontId="12" fillId="7" borderId="11" xfId="0" applyNumberFormat="1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/>
    </xf>
    <xf numFmtId="0" fontId="12" fillId="7" borderId="12" xfId="0" applyFont="1" applyFill="1" applyBorder="1"/>
    <xf numFmtId="3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15" fontId="0" fillId="8" borderId="0" xfId="0" applyNumberFormat="1" applyFill="1"/>
    <xf numFmtId="0" fontId="2" fillId="8" borderId="0" xfId="0" applyFont="1" applyFill="1"/>
    <xf numFmtId="0" fontId="0" fillId="8" borderId="0" xfId="0" applyFill="1"/>
    <xf numFmtId="3" fontId="2" fillId="8" borderId="0" xfId="0" applyNumberFormat="1" applyFont="1" applyFill="1"/>
    <xf numFmtId="3" fontId="0" fillId="8" borderId="0" xfId="0" applyNumberFormat="1" applyFill="1"/>
    <xf numFmtId="0" fontId="2" fillId="8" borderId="0" xfId="0" applyNumberFormat="1" applyFont="1" applyFill="1" applyAlignment="1">
      <alignment horizontal="center"/>
    </xf>
    <xf numFmtId="15" fontId="0" fillId="0" borderId="0" xfId="0" applyNumberFormat="1" applyFill="1"/>
    <xf numFmtId="0" fontId="2" fillId="0" borderId="0" xfId="0" applyFont="1" applyFill="1"/>
    <xf numFmtId="3" fontId="2" fillId="0" borderId="0" xfId="0" applyNumberFormat="1" applyFont="1" applyFill="1"/>
    <xf numFmtId="3" fontId="0" fillId="0" borderId="0" xfId="0" applyNumberFormat="1" applyFill="1"/>
    <xf numFmtId="0" fontId="2" fillId="0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3" displayName="Table13" ref="A17:L119" totalsRowShown="0" tableBorderDxfId="5">
  <autoFilter ref="A17:L119"/>
  <tableColumns count="12">
    <tableColumn id="1" name="S.no"/>
    <tableColumn id="2" name="Date"/>
    <tableColumn id="3" name="Plot" dataDxfId="4"/>
    <tableColumn id="4" name="Block" dataDxfId="3"/>
    <tableColumn id="5" name="Size"/>
    <tableColumn id="6" name="Receipt"/>
    <tableColumn id="7" name="Estate/Office"/>
    <tableColumn id="8" name="Installment" dataDxfId="2"/>
    <tableColumn id="9" name="Investment Value" dataDxfId="1">
      <calculatedColumnFormula>Table13[[#This Row],[Installment]]/2</calculatedColumnFormula>
    </tableColumn>
    <tableColumn id="10" name="Form Qty" dataDxfId="0">
      <calculatedColumnFormula>Table13[[#This Row],[Investment Value]]/20000</calculatedColumnFormula>
    </tableColumn>
    <tableColumn id="11" name="Slip Own"/>
    <tableColumn id="12" name="Slip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abSelected="1" topLeftCell="A15" workbookViewId="0">
      <selection activeCell="N6" sqref="N6"/>
    </sheetView>
  </sheetViews>
  <sheetFormatPr defaultRowHeight="14.4" x14ac:dyDescent="0.3"/>
  <cols>
    <col min="1" max="1" width="10.44140625" bestFit="1" customWidth="1"/>
    <col min="2" max="2" width="10.109375" bestFit="1" customWidth="1"/>
    <col min="5" max="5" width="18.6640625" bestFit="1" customWidth="1"/>
    <col min="7" max="7" width="17.5546875" bestFit="1" customWidth="1"/>
    <col min="8" max="8" width="13.44140625" bestFit="1" customWidth="1"/>
    <col min="9" max="9" width="14.33203125" bestFit="1" customWidth="1"/>
    <col min="10" max="10" width="15.44140625" bestFit="1" customWidth="1"/>
  </cols>
  <sheetData>
    <row r="1" spans="1:11" ht="28.8" x14ac:dyDescent="0.3">
      <c r="A1" s="54" t="s">
        <v>0</v>
      </c>
      <c r="B1" s="55"/>
      <c r="C1" s="56"/>
      <c r="D1" s="56"/>
      <c r="E1" s="56"/>
      <c r="F1" s="56"/>
      <c r="G1" s="56"/>
      <c r="H1" s="57"/>
      <c r="I1" s="1" t="s">
        <v>1</v>
      </c>
      <c r="J1" s="2" t="s">
        <v>2</v>
      </c>
    </row>
    <row r="2" spans="1:11" ht="28.2" thickBot="1" x14ac:dyDescent="0.35">
      <c r="A2" s="3"/>
      <c r="B2" s="4"/>
      <c r="C2" s="5"/>
      <c r="D2" s="5"/>
      <c r="E2" s="5"/>
      <c r="F2" s="5"/>
      <c r="G2" s="5"/>
      <c r="H2" s="5"/>
      <c r="I2" s="6">
        <f>E3*2</f>
        <v>98988000</v>
      </c>
      <c r="J2" s="7">
        <f>E3</f>
        <v>49494000</v>
      </c>
      <c r="K2" s="8"/>
    </row>
    <row r="3" spans="1:11" ht="30.6" thickBot="1" x14ac:dyDescent="0.45">
      <c r="A3" s="9" t="s">
        <v>3</v>
      </c>
      <c r="B3" s="10">
        <f>SUM(B5:B14)</f>
        <v>2474.6999999999998</v>
      </c>
      <c r="E3" s="11">
        <f>SUM(E5:E14)</f>
        <v>49494000</v>
      </c>
      <c r="F3" s="12"/>
      <c r="I3" s="13" t="s">
        <v>4</v>
      </c>
      <c r="J3" s="14" t="s">
        <v>5</v>
      </c>
      <c r="K3" s="15"/>
    </row>
    <row r="4" spans="1:11" ht="58.2" thickBot="1" x14ac:dyDescent="0.35">
      <c r="A4" s="16" t="s">
        <v>6</v>
      </c>
      <c r="B4" s="16" t="s">
        <v>7</v>
      </c>
      <c r="C4" s="16" t="s">
        <v>8</v>
      </c>
      <c r="D4" s="16" t="s">
        <v>9</v>
      </c>
      <c r="E4" s="17" t="s">
        <v>10</v>
      </c>
      <c r="F4" s="16" t="s">
        <v>11</v>
      </c>
      <c r="G4" s="16" t="s">
        <v>12</v>
      </c>
      <c r="I4" s="18">
        <f>I2-G5</f>
        <v>388000</v>
      </c>
      <c r="J4" s="19">
        <f>J2-I16</f>
        <v>194000</v>
      </c>
    </row>
    <row r="5" spans="1:11" ht="15.6" x14ac:dyDescent="0.3">
      <c r="A5" s="20"/>
      <c r="B5" s="21"/>
      <c r="C5" s="22" t="s">
        <v>13</v>
      </c>
      <c r="D5" s="23"/>
      <c r="E5" s="23"/>
      <c r="F5" s="23">
        <f>J4</f>
        <v>194000</v>
      </c>
      <c r="G5" s="24">
        <f>SUM(H18:H142)</f>
        <v>98600000</v>
      </c>
    </row>
    <row r="6" spans="1:11" ht="15.6" x14ac:dyDescent="0.3">
      <c r="A6" s="25">
        <v>46122</v>
      </c>
      <c r="B6">
        <f>E6/20000</f>
        <v>115</v>
      </c>
      <c r="D6">
        <v>11223</v>
      </c>
      <c r="E6" s="26">
        <v>2300000</v>
      </c>
      <c r="F6" t="s">
        <v>14</v>
      </c>
      <c r="G6" s="27"/>
    </row>
    <row r="7" spans="1:11" ht="15.6" x14ac:dyDescent="0.3">
      <c r="A7" s="25">
        <v>46122</v>
      </c>
      <c r="B7">
        <f t="shared" ref="B7:B13" si="0">E7/20000</f>
        <v>52</v>
      </c>
      <c r="E7" s="26">
        <v>1040000</v>
      </c>
      <c r="F7" t="s">
        <v>15</v>
      </c>
      <c r="G7" s="27"/>
    </row>
    <row r="8" spans="1:11" ht="15.6" x14ac:dyDescent="0.3">
      <c r="A8" s="25">
        <v>46122</v>
      </c>
      <c r="B8">
        <f t="shared" si="0"/>
        <v>5.2</v>
      </c>
      <c r="E8" s="26">
        <v>104000</v>
      </c>
      <c r="F8" t="s">
        <v>16</v>
      </c>
      <c r="G8" s="27"/>
    </row>
    <row r="9" spans="1:11" ht="15.6" x14ac:dyDescent="0.3">
      <c r="A9" s="25">
        <v>46123</v>
      </c>
      <c r="B9">
        <f t="shared" si="0"/>
        <v>137.5</v>
      </c>
      <c r="D9">
        <v>11248</v>
      </c>
      <c r="E9" s="26">
        <v>2750000</v>
      </c>
      <c r="F9" t="s">
        <v>17</v>
      </c>
      <c r="G9" s="27"/>
    </row>
    <row r="10" spans="1:11" ht="15.6" x14ac:dyDescent="0.3">
      <c r="A10" s="25">
        <v>46119</v>
      </c>
      <c r="B10">
        <f t="shared" si="0"/>
        <v>2165</v>
      </c>
      <c r="E10" s="26">
        <v>43300000</v>
      </c>
      <c r="F10" t="s">
        <v>18</v>
      </c>
      <c r="G10" s="27"/>
    </row>
    <row r="11" spans="1:11" ht="15.6" x14ac:dyDescent="0.3">
      <c r="A11" s="25">
        <v>46120</v>
      </c>
      <c r="B11">
        <f t="shared" si="0"/>
        <v>0</v>
      </c>
      <c r="E11" s="26"/>
      <c r="G11" s="27"/>
    </row>
    <row r="12" spans="1:11" ht="15.6" x14ac:dyDescent="0.3">
      <c r="B12">
        <f t="shared" si="0"/>
        <v>0</v>
      </c>
      <c r="E12" s="26"/>
      <c r="G12" s="27"/>
    </row>
    <row r="13" spans="1:11" ht="15.6" x14ac:dyDescent="0.3">
      <c r="B13">
        <f t="shared" si="0"/>
        <v>0</v>
      </c>
      <c r="E13" s="26"/>
      <c r="G13" s="27"/>
    </row>
    <row r="14" spans="1:11" x14ac:dyDescent="0.3">
      <c r="K14" t="s">
        <v>19</v>
      </c>
    </row>
    <row r="15" spans="1:11" x14ac:dyDescent="0.3">
      <c r="J15" s="28" t="s">
        <v>20</v>
      </c>
      <c r="K15" s="28" t="s">
        <v>21</v>
      </c>
    </row>
    <row r="16" spans="1:11" ht="18.600000000000001" x14ac:dyDescent="0.45">
      <c r="H16" s="29">
        <f>SUM(H18:H147)</f>
        <v>98600000</v>
      </c>
      <c r="I16" s="30">
        <f>SUM(I18:I147)</f>
        <v>49300000</v>
      </c>
      <c r="J16" s="31">
        <f>SUM(J18:J147)</f>
        <v>2465</v>
      </c>
      <c r="K16" s="32">
        <f>B3-J16</f>
        <v>9.6999999999998181</v>
      </c>
    </row>
    <row r="17" spans="1:12" ht="28.8" x14ac:dyDescent="0.3">
      <c r="A17" s="33" t="s">
        <v>22</v>
      </c>
      <c r="B17" s="34" t="s">
        <v>6</v>
      </c>
      <c r="C17" s="33" t="s">
        <v>23</v>
      </c>
      <c r="D17" s="33" t="s">
        <v>24</v>
      </c>
      <c r="E17" s="33" t="s">
        <v>25</v>
      </c>
      <c r="F17" s="35" t="s">
        <v>26</v>
      </c>
      <c r="G17" s="35" t="s">
        <v>27</v>
      </c>
      <c r="H17" s="35" t="s">
        <v>28</v>
      </c>
      <c r="I17" s="36" t="s">
        <v>29</v>
      </c>
      <c r="J17" s="37" t="s">
        <v>30</v>
      </c>
      <c r="K17" s="38" t="s">
        <v>31</v>
      </c>
      <c r="L17" s="39" t="s">
        <v>32</v>
      </c>
    </row>
    <row r="18" spans="1:12" x14ac:dyDescent="0.3">
      <c r="A18">
        <v>1</v>
      </c>
      <c r="B18" s="25">
        <v>46125</v>
      </c>
      <c r="C18" s="28">
        <v>93</v>
      </c>
      <c r="D18" s="28" t="s">
        <v>33</v>
      </c>
      <c r="E18" t="s">
        <v>34</v>
      </c>
      <c r="F18" t="s">
        <v>35</v>
      </c>
      <c r="G18" t="s">
        <v>36</v>
      </c>
      <c r="H18" s="26">
        <v>3040000</v>
      </c>
      <c r="I18" s="40">
        <f>Table13[[#This Row],[Installment]]/2</f>
        <v>1520000</v>
      </c>
      <c r="J18" s="41">
        <f>Table13[[#This Row],[Investment Value]]/20000</f>
        <v>76</v>
      </c>
      <c r="K18" t="s">
        <v>37</v>
      </c>
      <c r="L18" t="s">
        <v>38</v>
      </c>
    </row>
    <row r="19" spans="1:12" x14ac:dyDescent="0.3">
      <c r="A19">
        <f>A18+1</f>
        <v>2</v>
      </c>
      <c r="B19" s="25">
        <v>46123</v>
      </c>
      <c r="C19" s="28">
        <v>96</v>
      </c>
      <c r="D19" s="28" t="s">
        <v>39</v>
      </c>
      <c r="E19" t="s">
        <v>40</v>
      </c>
      <c r="F19" t="s">
        <v>41</v>
      </c>
      <c r="G19" t="s">
        <v>42</v>
      </c>
      <c r="H19" s="26">
        <v>600000</v>
      </c>
      <c r="I19" s="40">
        <f>Table13[[#This Row],[Installment]]/2</f>
        <v>300000</v>
      </c>
      <c r="J19" s="41">
        <f>Table13[[#This Row],[Investment Value]]/20000</f>
        <v>15</v>
      </c>
      <c r="K19" t="s">
        <v>37</v>
      </c>
      <c r="L19" t="s">
        <v>38</v>
      </c>
    </row>
    <row r="20" spans="1:12" x14ac:dyDescent="0.3">
      <c r="A20">
        <f t="shared" ref="A20:A83" si="1">A19+1</f>
        <v>3</v>
      </c>
      <c r="B20" s="25">
        <v>46123</v>
      </c>
      <c r="C20" s="28">
        <v>138</v>
      </c>
      <c r="D20" s="28" t="s">
        <v>39</v>
      </c>
      <c r="E20" t="s">
        <v>40</v>
      </c>
      <c r="F20" t="s">
        <v>43</v>
      </c>
      <c r="G20" t="s">
        <v>42</v>
      </c>
      <c r="H20" s="26">
        <v>600000</v>
      </c>
      <c r="I20" s="40">
        <f>Table13[[#This Row],[Installment]]/2</f>
        <v>300000</v>
      </c>
      <c r="J20" s="41">
        <f>Table13[[#This Row],[Investment Value]]/20000</f>
        <v>15</v>
      </c>
      <c r="K20" t="s">
        <v>37</v>
      </c>
      <c r="L20" t="s">
        <v>44</v>
      </c>
    </row>
    <row r="21" spans="1:12" x14ac:dyDescent="0.3">
      <c r="A21">
        <f t="shared" si="1"/>
        <v>4</v>
      </c>
      <c r="B21" s="25">
        <v>46125</v>
      </c>
      <c r="C21" s="28">
        <v>130</v>
      </c>
      <c r="D21" s="28" t="s">
        <v>33</v>
      </c>
      <c r="E21" t="s">
        <v>45</v>
      </c>
      <c r="F21" t="s">
        <v>46</v>
      </c>
      <c r="G21" t="s">
        <v>47</v>
      </c>
      <c r="H21" s="26">
        <v>640000</v>
      </c>
      <c r="I21" s="40">
        <f>Table13[[#This Row],[Installment]]/2</f>
        <v>320000</v>
      </c>
      <c r="J21" s="41">
        <f>Table13[[#This Row],[Investment Value]]/20000</f>
        <v>16</v>
      </c>
      <c r="K21" t="s">
        <v>48</v>
      </c>
      <c r="L21" t="s">
        <v>49</v>
      </c>
    </row>
    <row r="22" spans="1:12" x14ac:dyDescent="0.3">
      <c r="A22">
        <f t="shared" si="1"/>
        <v>5</v>
      </c>
      <c r="B22" s="25">
        <v>46125</v>
      </c>
      <c r="C22" s="28">
        <v>15</v>
      </c>
      <c r="D22" s="28" t="s">
        <v>50</v>
      </c>
      <c r="E22" t="s">
        <v>45</v>
      </c>
      <c r="F22" t="s">
        <v>51</v>
      </c>
      <c r="G22" t="s">
        <v>52</v>
      </c>
      <c r="H22" s="26">
        <v>800000</v>
      </c>
      <c r="I22" s="40">
        <f>Table13[[#This Row],[Installment]]/2</f>
        <v>400000</v>
      </c>
      <c r="J22" s="41">
        <f>Table13[[#This Row],[Investment Value]]/20000</f>
        <v>20</v>
      </c>
      <c r="K22" t="s">
        <v>48</v>
      </c>
      <c r="L22" t="s">
        <v>53</v>
      </c>
    </row>
    <row r="23" spans="1:12" x14ac:dyDescent="0.3">
      <c r="A23">
        <f t="shared" si="1"/>
        <v>6</v>
      </c>
      <c r="B23" s="25">
        <v>46130</v>
      </c>
      <c r="C23" s="28">
        <v>112</v>
      </c>
      <c r="D23" s="28" t="s">
        <v>39</v>
      </c>
      <c r="E23" t="s">
        <v>40</v>
      </c>
      <c r="F23" t="s">
        <v>54</v>
      </c>
      <c r="G23" t="s">
        <v>55</v>
      </c>
      <c r="H23" s="26">
        <v>960000</v>
      </c>
      <c r="I23" s="40">
        <f>Table13[[#This Row],[Installment]]/2</f>
        <v>480000</v>
      </c>
      <c r="J23" s="41">
        <f>Table13[[#This Row],[Investment Value]]/20000</f>
        <v>24</v>
      </c>
      <c r="K23" t="s">
        <v>37</v>
      </c>
      <c r="L23" t="s">
        <v>56</v>
      </c>
    </row>
    <row r="24" spans="1:12" x14ac:dyDescent="0.3">
      <c r="A24">
        <f t="shared" si="1"/>
        <v>7</v>
      </c>
      <c r="B24" s="25">
        <v>46123</v>
      </c>
      <c r="C24" s="28">
        <v>156</v>
      </c>
      <c r="D24" s="28" t="s">
        <v>50</v>
      </c>
      <c r="E24" t="s">
        <v>45</v>
      </c>
      <c r="F24" t="s">
        <v>57</v>
      </c>
      <c r="G24" t="s">
        <v>58</v>
      </c>
      <c r="H24" s="26">
        <v>640000</v>
      </c>
      <c r="I24" s="40">
        <f>Table13[[#This Row],[Installment]]/2</f>
        <v>320000</v>
      </c>
      <c r="J24" s="41">
        <f>Table13[[#This Row],[Investment Value]]/20000</f>
        <v>16</v>
      </c>
      <c r="K24" t="s">
        <v>37</v>
      </c>
      <c r="L24" t="s">
        <v>59</v>
      </c>
    </row>
    <row r="25" spans="1:12" x14ac:dyDescent="0.3">
      <c r="A25">
        <f t="shared" si="1"/>
        <v>8</v>
      </c>
      <c r="B25" s="25">
        <v>46123</v>
      </c>
      <c r="C25" s="28">
        <v>57</v>
      </c>
      <c r="D25" s="28" t="s">
        <v>60</v>
      </c>
      <c r="E25" t="s">
        <v>61</v>
      </c>
      <c r="F25" t="s">
        <v>62</v>
      </c>
      <c r="G25" t="s">
        <v>63</v>
      </c>
      <c r="H25" s="26">
        <v>200000</v>
      </c>
      <c r="I25" s="40">
        <f>Table13[[#This Row],[Installment]]/2</f>
        <v>100000</v>
      </c>
      <c r="J25" s="42">
        <f>Table13[[#This Row],[Investment Value]]/20000</f>
        <v>5</v>
      </c>
      <c r="K25" t="s">
        <v>64</v>
      </c>
      <c r="L25" t="s">
        <v>65</v>
      </c>
    </row>
    <row r="26" spans="1:12" x14ac:dyDescent="0.3">
      <c r="A26">
        <f t="shared" si="1"/>
        <v>9</v>
      </c>
      <c r="B26" s="25">
        <v>46123</v>
      </c>
      <c r="C26" s="28">
        <v>80</v>
      </c>
      <c r="D26" s="28" t="s">
        <v>50</v>
      </c>
      <c r="E26" t="s">
        <v>66</v>
      </c>
      <c r="F26" t="s">
        <v>67</v>
      </c>
      <c r="G26" t="s">
        <v>68</v>
      </c>
      <c r="H26" s="26">
        <v>1000000</v>
      </c>
      <c r="I26" s="40">
        <f>Table13[[#This Row],[Installment]]/2</f>
        <v>500000</v>
      </c>
      <c r="J26" s="42">
        <f>Table13[[#This Row],[Investment Value]]/20000</f>
        <v>25</v>
      </c>
      <c r="K26" t="s">
        <v>64</v>
      </c>
      <c r="L26" t="s">
        <v>65</v>
      </c>
    </row>
    <row r="27" spans="1:12" x14ac:dyDescent="0.3">
      <c r="A27">
        <f t="shared" si="1"/>
        <v>10</v>
      </c>
      <c r="B27" s="25">
        <v>46123</v>
      </c>
      <c r="C27" s="28">
        <v>154</v>
      </c>
      <c r="D27" s="28" t="s">
        <v>69</v>
      </c>
      <c r="E27" t="s">
        <v>66</v>
      </c>
      <c r="F27" t="s">
        <v>70</v>
      </c>
      <c r="G27" t="s">
        <v>71</v>
      </c>
      <c r="H27" s="26">
        <v>480000</v>
      </c>
      <c r="I27" s="40">
        <f>Table13[[#This Row],[Installment]]/2</f>
        <v>240000</v>
      </c>
      <c r="J27" s="42">
        <f>Table13[[#This Row],[Investment Value]]/20000</f>
        <v>12</v>
      </c>
      <c r="K27" t="s">
        <v>64</v>
      </c>
      <c r="L27" t="s">
        <v>65</v>
      </c>
    </row>
    <row r="28" spans="1:12" x14ac:dyDescent="0.3">
      <c r="A28">
        <f t="shared" si="1"/>
        <v>11</v>
      </c>
      <c r="B28" s="25">
        <v>46123</v>
      </c>
      <c r="C28" s="28">
        <v>459</v>
      </c>
      <c r="D28" s="28" t="s">
        <v>33</v>
      </c>
      <c r="E28" t="s">
        <v>61</v>
      </c>
      <c r="F28" t="s">
        <v>72</v>
      </c>
      <c r="G28" t="s">
        <v>73</v>
      </c>
      <c r="H28" s="26">
        <v>200000</v>
      </c>
      <c r="I28" s="40">
        <f>Table13[[#This Row],[Installment]]/2</f>
        <v>100000</v>
      </c>
      <c r="J28" s="42">
        <f>Table13[[#This Row],[Investment Value]]/20000</f>
        <v>5</v>
      </c>
      <c r="K28" t="s">
        <v>64</v>
      </c>
      <c r="L28" t="s">
        <v>65</v>
      </c>
    </row>
    <row r="29" spans="1:12" x14ac:dyDescent="0.3">
      <c r="A29">
        <f t="shared" si="1"/>
        <v>12</v>
      </c>
      <c r="B29" s="25">
        <v>46126</v>
      </c>
      <c r="C29" s="28">
        <v>94</v>
      </c>
      <c r="D29" s="28" t="s">
        <v>60</v>
      </c>
      <c r="E29" t="s">
        <v>74</v>
      </c>
      <c r="F29" t="s">
        <v>75</v>
      </c>
      <c r="G29" t="s">
        <v>76</v>
      </c>
      <c r="H29" s="26">
        <v>1240000</v>
      </c>
      <c r="I29" s="40">
        <f>Table13[[#This Row],[Installment]]/2</f>
        <v>620000</v>
      </c>
      <c r="J29" s="42">
        <f>Table13[[#This Row],[Investment Value]]/20000</f>
        <v>31</v>
      </c>
      <c r="K29" t="s">
        <v>64</v>
      </c>
      <c r="L29" t="s">
        <v>77</v>
      </c>
    </row>
    <row r="30" spans="1:12" x14ac:dyDescent="0.3">
      <c r="A30">
        <f t="shared" si="1"/>
        <v>13</v>
      </c>
      <c r="B30" s="25">
        <v>46126</v>
      </c>
      <c r="C30" s="28">
        <v>844</v>
      </c>
      <c r="D30" s="28" t="s">
        <v>33</v>
      </c>
      <c r="E30" t="s">
        <v>45</v>
      </c>
      <c r="F30" t="s">
        <v>78</v>
      </c>
      <c r="G30" t="s">
        <v>79</v>
      </c>
      <c r="H30" s="26">
        <v>320000</v>
      </c>
      <c r="I30" s="40">
        <f>Table13[[#This Row],[Installment]]/2</f>
        <v>160000</v>
      </c>
      <c r="J30" s="42">
        <f>Table13[[#This Row],[Investment Value]]/20000</f>
        <v>8</v>
      </c>
      <c r="K30" t="s">
        <v>80</v>
      </c>
      <c r="L30" t="s">
        <v>81</v>
      </c>
    </row>
    <row r="31" spans="1:12" x14ac:dyDescent="0.3">
      <c r="A31">
        <f t="shared" si="1"/>
        <v>14</v>
      </c>
      <c r="B31" s="25">
        <v>46126</v>
      </c>
      <c r="C31" s="28" t="s">
        <v>82</v>
      </c>
      <c r="D31" s="28" t="s">
        <v>83</v>
      </c>
      <c r="E31" t="s">
        <v>84</v>
      </c>
      <c r="F31" t="s">
        <v>85</v>
      </c>
      <c r="G31" t="s">
        <v>86</v>
      </c>
      <c r="H31" s="26">
        <v>640000</v>
      </c>
      <c r="I31" s="40">
        <f>Table13[[#This Row],[Installment]]/2</f>
        <v>320000</v>
      </c>
      <c r="J31" s="42">
        <f>Table13[[#This Row],[Investment Value]]/20000</f>
        <v>16</v>
      </c>
      <c r="K31" t="s">
        <v>80</v>
      </c>
      <c r="L31" t="s">
        <v>81</v>
      </c>
    </row>
    <row r="32" spans="1:12" x14ac:dyDescent="0.3">
      <c r="A32">
        <f t="shared" si="1"/>
        <v>15</v>
      </c>
      <c r="B32" s="25">
        <v>46126</v>
      </c>
      <c r="C32" s="28">
        <v>100</v>
      </c>
      <c r="D32" s="28" t="s">
        <v>33</v>
      </c>
      <c r="E32" t="s">
        <v>87</v>
      </c>
      <c r="F32" t="s">
        <v>88</v>
      </c>
      <c r="G32" t="s">
        <v>89</v>
      </c>
      <c r="H32" s="26">
        <v>1840000</v>
      </c>
      <c r="I32" s="40">
        <f>Table13[[#This Row],[Installment]]/2</f>
        <v>920000</v>
      </c>
      <c r="J32" s="42">
        <f>Table13[[#This Row],[Investment Value]]/20000</f>
        <v>46</v>
      </c>
      <c r="K32" t="s">
        <v>80</v>
      </c>
      <c r="L32" t="s">
        <v>81</v>
      </c>
    </row>
    <row r="33" spans="1:12" x14ac:dyDescent="0.3">
      <c r="A33">
        <f t="shared" si="1"/>
        <v>16</v>
      </c>
      <c r="B33" s="25">
        <v>46126</v>
      </c>
      <c r="C33" s="28">
        <v>29</v>
      </c>
      <c r="D33" s="28" t="s">
        <v>50</v>
      </c>
      <c r="E33" t="s">
        <v>45</v>
      </c>
      <c r="F33" t="s">
        <v>90</v>
      </c>
      <c r="G33" t="s">
        <v>68</v>
      </c>
      <c r="H33" s="26">
        <v>320000</v>
      </c>
      <c r="I33" s="40">
        <f>Table13[[#This Row],[Installment]]/2</f>
        <v>160000</v>
      </c>
      <c r="J33" s="42">
        <f>Table13[[#This Row],[Investment Value]]/20000</f>
        <v>8</v>
      </c>
      <c r="K33" t="s">
        <v>80</v>
      </c>
      <c r="L33" t="s">
        <v>81</v>
      </c>
    </row>
    <row r="34" spans="1:12" x14ac:dyDescent="0.3">
      <c r="A34">
        <f t="shared" si="1"/>
        <v>17</v>
      </c>
      <c r="B34" s="25">
        <v>46126</v>
      </c>
      <c r="C34" s="28">
        <v>157</v>
      </c>
      <c r="D34" s="28" t="s">
        <v>50</v>
      </c>
      <c r="E34" t="s">
        <v>87</v>
      </c>
      <c r="F34" t="s">
        <v>91</v>
      </c>
      <c r="G34" t="s">
        <v>92</v>
      </c>
      <c r="H34" s="26">
        <v>4000000</v>
      </c>
      <c r="I34" s="40">
        <f>Table13[[#This Row],[Installment]]/2</f>
        <v>2000000</v>
      </c>
      <c r="J34" s="42">
        <f>Table13[[#This Row],[Investment Value]]/20000</f>
        <v>100</v>
      </c>
      <c r="K34" t="s">
        <v>80</v>
      </c>
      <c r="L34" t="s">
        <v>81</v>
      </c>
    </row>
    <row r="35" spans="1:12" x14ac:dyDescent="0.3">
      <c r="A35">
        <f t="shared" si="1"/>
        <v>18</v>
      </c>
      <c r="B35" s="25">
        <v>46126</v>
      </c>
      <c r="C35" s="28">
        <v>665</v>
      </c>
      <c r="D35" s="28" t="s">
        <v>33</v>
      </c>
      <c r="E35" t="s">
        <v>93</v>
      </c>
      <c r="F35" t="s">
        <v>94</v>
      </c>
      <c r="G35" t="s">
        <v>95</v>
      </c>
      <c r="H35" s="26">
        <v>320000</v>
      </c>
      <c r="I35" s="40">
        <f>Table13[[#This Row],[Installment]]/2</f>
        <v>160000</v>
      </c>
      <c r="J35" s="42">
        <f>Table13[[#This Row],[Investment Value]]/20000</f>
        <v>8</v>
      </c>
      <c r="K35" t="s">
        <v>80</v>
      </c>
      <c r="L35" t="s">
        <v>96</v>
      </c>
    </row>
    <row r="36" spans="1:12" x14ac:dyDescent="0.3">
      <c r="A36">
        <f t="shared" si="1"/>
        <v>19</v>
      </c>
      <c r="B36" s="25">
        <v>46128</v>
      </c>
      <c r="C36" s="28">
        <v>100</v>
      </c>
      <c r="D36" s="28" t="s">
        <v>33</v>
      </c>
      <c r="E36" t="s">
        <v>87</v>
      </c>
      <c r="F36" t="s">
        <v>97</v>
      </c>
      <c r="G36" t="s">
        <v>89</v>
      </c>
      <c r="H36" s="26">
        <v>3760000</v>
      </c>
      <c r="I36" s="40">
        <f>Table13[[#This Row],[Installment]]/2</f>
        <v>1880000</v>
      </c>
      <c r="J36" s="42">
        <f>Table13[[#This Row],[Investment Value]]/20000</f>
        <v>94</v>
      </c>
      <c r="K36" t="s">
        <v>80</v>
      </c>
      <c r="L36" t="s">
        <v>81</v>
      </c>
    </row>
    <row r="37" spans="1:12" x14ac:dyDescent="0.3">
      <c r="A37">
        <f t="shared" si="1"/>
        <v>20</v>
      </c>
      <c r="B37" s="25">
        <v>46126</v>
      </c>
      <c r="C37" s="28">
        <v>41</v>
      </c>
      <c r="D37" s="28" t="s">
        <v>50</v>
      </c>
      <c r="E37" t="s">
        <v>45</v>
      </c>
      <c r="F37" t="s">
        <v>98</v>
      </c>
      <c r="G37" t="s">
        <v>58</v>
      </c>
      <c r="H37" s="26">
        <v>640000</v>
      </c>
      <c r="I37" s="40">
        <f>Table13[[#This Row],[Installment]]/2</f>
        <v>320000</v>
      </c>
      <c r="J37" s="42">
        <f>Table13[[#This Row],[Investment Value]]/20000</f>
        <v>16</v>
      </c>
      <c r="K37" t="s">
        <v>99</v>
      </c>
      <c r="L37" t="s">
        <v>100</v>
      </c>
    </row>
    <row r="38" spans="1:12" x14ac:dyDescent="0.3">
      <c r="A38">
        <f t="shared" si="1"/>
        <v>21</v>
      </c>
      <c r="B38" s="25">
        <v>46126</v>
      </c>
      <c r="C38" s="28">
        <v>44</v>
      </c>
      <c r="D38" s="28" t="s">
        <v>50</v>
      </c>
      <c r="E38" t="s">
        <v>45</v>
      </c>
      <c r="F38" t="s">
        <v>101</v>
      </c>
      <c r="G38" t="s">
        <v>58</v>
      </c>
      <c r="H38" s="26">
        <v>640000</v>
      </c>
      <c r="I38" s="40">
        <f>Table13[[#This Row],[Installment]]/2</f>
        <v>320000</v>
      </c>
      <c r="J38" s="42">
        <f>Table13[[#This Row],[Investment Value]]/20000</f>
        <v>16</v>
      </c>
      <c r="K38" t="s">
        <v>99</v>
      </c>
      <c r="L38" t="s">
        <v>100</v>
      </c>
    </row>
    <row r="39" spans="1:12" x14ac:dyDescent="0.3">
      <c r="A39">
        <f t="shared" si="1"/>
        <v>22</v>
      </c>
      <c r="B39" s="25">
        <v>46126</v>
      </c>
      <c r="C39" s="28">
        <v>43</v>
      </c>
      <c r="D39" s="28" t="s">
        <v>50</v>
      </c>
      <c r="E39" t="s">
        <v>45</v>
      </c>
      <c r="F39" t="s">
        <v>102</v>
      </c>
      <c r="G39" t="s">
        <v>58</v>
      </c>
      <c r="H39" s="26">
        <v>640000</v>
      </c>
      <c r="I39" s="40">
        <f>Table13[[#This Row],[Installment]]/2</f>
        <v>320000</v>
      </c>
      <c r="J39" s="42">
        <f>Table13[[#This Row],[Investment Value]]/20000</f>
        <v>16</v>
      </c>
      <c r="K39" t="s">
        <v>99</v>
      </c>
      <c r="L39" t="s">
        <v>100</v>
      </c>
    </row>
    <row r="40" spans="1:12" x14ac:dyDescent="0.3">
      <c r="A40">
        <f t="shared" si="1"/>
        <v>23</v>
      </c>
      <c r="B40" s="25">
        <v>46126</v>
      </c>
      <c r="C40" s="28">
        <v>702</v>
      </c>
      <c r="D40" s="28" t="s">
        <v>33</v>
      </c>
      <c r="E40" t="s">
        <v>45</v>
      </c>
      <c r="F40" t="s">
        <v>103</v>
      </c>
      <c r="G40" t="s">
        <v>104</v>
      </c>
      <c r="H40" s="26">
        <v>320000</v>
      </c>
      <c r="I40" s="40">
        <f>Table13[[#This Row],[Installment]]/2</f>
        <v>160000</v>
      </c>
      <c r="J40" s="42">
        <f>Table13[[#This Row],[Investment Value]]/20000</f>
        <v>8</v>
      </c>
      <c r="K40" t="s">
        <v>99</v>
      </c>
      <c r="L40" t="s">
        <v>100</v>
      </c>
    </row>
    <row r="41" spans="1:12" x14ac:dyDescent="0.3">
      <c r="A41">
        <f t="shared" si="1"/>
        <v>24</v>
      </c>
      <c r="B41" s="25">
        <v>46126</v>
      </c>
      <c r="C41" s="28">
        <v>650</v>
      </c>
      <c r="D41" s="28" t="s">
        <v>33</v>
      </c>
      <c r="E41" t="s">
        <v>45</v>
      </c>
      <c r="F41" t="s">
        <v>105</v>
      </c>
      <c r="G41" t="s">
        <v>106</v>
      </c>
      <c r="H41" s="26">
        <v>320000</v>
      </c>
      <c r="I41" s="40">
        <f>Table13[[#This Row],[Installment]]/2</f>
        <v>160000</v>
      </c>
      <c r="J41" s="42">
        <f>Table13[[#This Row],[Investment Value]]/20000</f>
        <v>8</v>
      </c>
      <c r="K41" t="s">
        <v>99</v>
      </c>
      <c r="L41" t="s">
        <v>100</v>
      </c>
    </row>
    <row r="42" spans="1:12" x14ac:dyDescent="0.3">
      <c r="A42">
        <f t="shared" si="1"/>
        <v>25</v>
      </c>
      <c r="B42" s="43">
        <v>46123</v>
      </c>
      <c r="C42" s="44">
        <v>42</v>
      </c>
      <c r="D42" s="44" t="s">
        <v>33</v>
      </c>
      <c r="E42" s="45" t="s">
        <v>45</v>
      </c>
      <c r="F42" s="45" t="s">
        <v>107</v>
      </c>
      <c r="G42" s="45" t="s">
        <v>108</v>
      </c>
      <c r="H42" s="46">
        <v>3400000</v>
      </c>
      <c r="I42" s="47">
        <f>Table13[[#This Row],[Installment]]/2</f>
        <v>1700000</v>
      </c>
      <c r="J42" s="48">
        <f>Table13[[#This Row],[Investment Value]]/20000</f>
        <v>85</v>
      </c>
      <c r="K42" s="45" t="s">
        <v>99</v>
      </c>
      <c r="L42" t="s">
        <v>109</v>
      </c>
    </row>
    <row r="43" spans="1:12" x14ac:dyDescent="0.3">
      <c r="A43">
        <f t="shared" si="1"/>
        <v>26</v>
      </c>
      <c r="B43" s="25">
        <v>46128</v>
      </c>
      <c r="C43" s="28">
        <v>289</v>
      </c>
      <c r="D43" s="28" t="s">
        <v>110</v>
      </c>
      <c r="E43" t="s">
        <v>111</v>
      </c>
      <c r="F43" t="s">
        <v>112</v>
      </c>
      <c r="G43" t="s">
        <v>113</v>
      </c>
      <c r="H43" s="26">
        <v>480000</v>
      </c>
      <c r="I43" s="40">
        <f>Table13[[#This Row],[Installment]]/2</f>
        <v>240000</v>
      </c>
      <c r="J43" s="42">
        <f>Table13[[#This Row],[Investment Value]]/20000</f>
        <v>12</v>
      </c>
      <c r="K43" t="s">
        <v>48</v>
      </c>
      <c r="L43" t="s">
        <v>49</v>
      </c>
    </row>
    <row r="44" spans="1:12" x14ac:dyDescent="0.3">
      <c r="A44">
        <f t="shared" si="1"/>
        <v>27</v>
      </c>
      <c r="B44" s="25">
        <v>46128</v>
      </c>
      <c r="C44" s="28">
        <v>289</v>
      </c>
      <c r="D44" s="28" t="s">
        <v>110</v>
      </c>
      <c r="E44" t="s">
        <v>114</v>
      </c>
      <c r="F44" t="s">
        <v>115</v>
      </c>
      <c r="G44" t="s">
        <v>113</v>
      </c>
      <c r="H44" s="26">
        <v>120000</v>
      </c>
      <c r="I44" s="40">
        <f>Table13[[#This Row],[Installment]]/2</f>
        <v>60000</v>
      </c>
      <c r="J44" s="42">
        <f>Table13[[#This Row],[Investment Value]]/20000</f>
        <v>3</v>
      </c>
      <c r="K44" t="s">
        <v>48</v>
      </c>
      <c r="L44" t="s">
        <v>49</v>
      </c>
    </row>
    <row r="45" spans="1:12" x14ac:dyDescent="0.3">
      <c r="A45">
        <f t="shared" si="1"/>
        <v>28</v>
      </c>
      <c r="B45" s="25">
        <v>46127</v>
      </c>
      <c r="C45" s="28">
        <v>63</v>
      </c>
      <c r="D45" s="28" t="s">
        <v>110</v>
      </c>
      <c r="E45" t="s">
        <v>45</v>
      </c>
      <c r="F45" t="s">
        <v>116</v>
      </c>
      <c r="G45" t="s">
        <v>117</v>
      </c>
      <c r="H45" s="26">
        <v>320000</v>
      </c>
      <c r="I45" s="40">
        <f>Table13[[#This Row],[Installment]]/2</f>
        <v>160000</v>
      </c>
      <c r="J45" s="42">
        <f>Table13[[#This Row],[Investment Value]]/20000</f>
        <v>8</v>
      </c>
      <c r="K45" t="s">
        <v>48</v>
      </c>
      <c r="L45" t="s">
        <v>49</v>
      </c>
    </row>
    <row r="46" spans="1:12" x14ac:dyDescent="0.3">
      <c r="A46">
        <f t="shared" si="1"/>
        <v>29</v>
      </c>
      <c r="B46" s="25">
        <v>46127</v>
      </c>
      <c r="C46" s="28">
        <v>266</v>
      </c>
      <c r="D46" s="28" t="s">
        <v>110</v>
      </c>
      <c r="E46" t="s">
        <v>45</v>
      </c>
      <c r="F46" t="s">
        <v>118</v>
      </c>
      <c r="G46" t="s">
        <v>119</v>
      </c>
      <c r="H46" s="26">
        <v>320000</v>
      </c>
      <c r="I46" s="40">
        <f>Table13[[#This Row],[Installment]]/2</f>
        <v>160000</v>
      </c>
      <c r="J46" s="42">
        <f>Table13[[#This Row],[Investment Value]]/20000</f>
        <v>8</v>
      </c>
      <c r="K46" t="s">
        <v>48</v>
      </c>
      <c r="L46" t="s">
        <v>49</v>
      </c>
    </row>
    <row r="47" spans="1:12" x14ac:dyDescent="0.3">
      <c r="A47">
        <f t="shared" si="1"/>
        <v>30</v>
      </c>
      <c r="B47" s="25">
        <v>46128</v>
      </c>
      <c r="C47" s="28">
        <v>52</v>
      </c>
      <c r="D47" s="28" t="s">
        <v>110</v>
      </c>
      <c r="E47" t="s">
        <v>87</v>
      </c>
      <c r="F47" t="s">
        <v>120</v>
      </c>
      <c r="G47" t="s">
        <v>68</v>
      </c>
      <c r="H47" s="26">
        <v>1840000</v>
      </c>
      <c r="I47" s="40">
        <f>Table13[[#This Row],[Installment]]/2</f>
        <v>920000</v>
      </c>
      <c r="J47" s="42">
        <f>Table13[[#This Row],[Investment Value]]/20000</f>
        <v>46</v>
      </c>
      <c r="K47" t="s">
        <v>64</v>
      </c>
      <c r="L47" t="s">
        <v>121</v>
      </c>
    </row>
    <row r="48" spans="1:12" x14ac:dyDescent="0.3">
      <c r="A48">
        <f t="shared" si="1"/>
        <v>31</v>
      </c>
      <c r="B48" s="25">
        <v>46128</v>
      </c>
      <c r="C48" s="28">
        <v>53</v>
      </c>
      <c r="D48" s="28" t="s">
        <v>110</v>
      </c>
      <c r="E48" t="s">
        <v>87</v>
      </c>
      <c r="F48" t="s">
        <v>122</v>
      </c>
      <c r="G48" t="s">
        <v>68</v>
      </c>
      <c r="H48" s="26">
        <v>1840000</v>
      </c>
      <c r="I48" s="40">
        <f>Table13[[#This Row],[Installment]]/2</f>
        <v>920000</v>
      </c>
      <c r="J48" s="42">
        <f>Table13[[#This Row],[Investment Value]]/20000</f>
        <v>46</v>
      </c>
      <c r="K48" t="s">
        <v>64</v>
      </c>
      <c r="L48" t="s">
        <v>121</v>
      </c>
    </row>
    <row r="49" spans="1:12" x14ac:dyDescent="0.3">
      <c r="A49">
        <f t="shared" si="1"/>
        <v>32</v>
      </c>
      <c r="B49" s="25">
        <v>46128</v>
      </c>
      <c r="C49" s="28">
        <v>54</v>
      </c>
      <c r="D49" s="28" t="s">
        <v>110</v>
      </c>
      <c r="E49" t="s">
        <v>87</v>
      </c>
      <c r="F49" t="s">
        <v>123</v>
      </c>
      <c r="G49" t="s">
        <v>68</v>
      </c>
      <c r="H49" s="26">
        <v>1840000</v>
      </c>
      <c r="I49" s="40">
        <f>Table13[[#This Row],[Installment]]/2</f>
        <v>920000</v>
      </c>
      <c r="J49" s="42">
        <f>Table13[[#This Row],[Investment Value]]/20000</f>
        <v>46</v>
      </c>
      <c r="K49" t="s">
        <v>64</v>
      </c>
      <c r="L49" t="s">
        <v>121</v>
      </c>
    </row>
    <row r="50" spans="1:12" x14ac:dyDescent="0.3">
      <c r="A50">
        <f t="shared" si="1"/>
        <v>33</v>
      </c>
      <c r="B50" s="25">
        <v>46128</v>
      </c>
      <c r="C50" s="28">
        <v>1</v>
      </c>
      <c r="D50" s="28" t="s">
        <v>39</v>
      </c>
      <c r="E50" t="s">
        <v>124</v>
      </c>
      <c r="F50" t="s">
        <v>125</v>
      </c>
      <c r="G50" t="s">
        <v>126</v>
      </c>
      <c r="H50" s="26">
        <v>1480000</v>
      </c>
      <c r="I50" s="40">
        <f>Table13[[#This Row],[Installment]]/2</f>
        <v>740000</v>
      </c>
      <c r="J50" s="42">
        <f>Table13[[#This Row],[Investment Value]]/20000</f>
        <v>37</v>
      </c>
      <c r="K50" t="s">
        <v>80</v>
      </c>
      <c r="L50" t="s">
        <v>81</v>
      </c>
    </row>
    <row r="51" spans="1:12" x14ac:dyDescent="0.3">
      <c r="A51">
        <f t="shared" si="1"/>
        <v>34</v>
      </c>
      <c r="B51" s="25">
        <v>46128</v>
      </c>
      <c r="C51" s="28">
        <v>205</v>
      </c>
      <c r="D51" s="28" t="s">
        <v>60</v>
      </c>
      <c r="E51" t="s">
        <v>127</v>
      </c>
      <c r="F51" t="s">
        <v>128</v>
      </c>
      <c r="G51" t="s">
        <v>129</v>
      </c>
      <c r="H51" s="26">
        <v>200000</v>
      </c>
      <c r="I51" s="40">
        <f>Table13[[#This Row],[Installment]]/2</f>
        <v>100000</v>
      </c>
      <c r="J51" s="42">
        <f>Table13[[#This Row],[Investment Value]]/20000</f>
        <v>5</v>
      </c>
      <c r="K51" t="s">
        <v>48</v>
      </c>
      <c r="L51" t="s">
        <v>49</v>
      </c>
    </row>
    <row r="52" spans="1:12" x14ac:dyDescent="0.3">
      <c r="A52">
        <f t="shared" si="1"/>
        <v>35</v>
      </c>
      <c r="B52" s="25">
        <v>46128</v>
      </c>
      <c r="C52" s="28">
        <v>85</v>
      </c>
      <c r="D52" s="28" t="s">
        <v>130</v>
      </c>
      <c r="E52" t="s">
        <v>131</v>
      </c>
      <c r="F52" t="s">
        <v>132</v>
      </c>
      <c r="G52" t="s">
        <v>133</v>
      </c>
      <c r="H52" s="26">
        <v>80000</v>
      </c>
      <c r="I52" s="40">
        <f>Table13[[#This Row],[Installment]]/2</f>
        <v>40000</v>
      </c>
      <c r="J52" s="42">
        <f>Table13[[#This Row],[Investment Value]]/20000</f>
        <v>2</v>
      </c>
      <c r="K52" t="s">
        <v>48</v>
      </c>
      <c r="L52" t="s">
        <v>49</v>
      </c>
    </row>
    <row r="53" spans="1:12" x14ac:dyDescent="0.3">
      <c r="A53">
        <f t="shared" si="1"/>
        <v>36</v>
      </c>
      <c r="B53" s="25">
        <v>46128</v>
      </c>
      <c r="C53" s="28">
        <v>85</v>
      </c>
      <c r="D53" s="28" t="s">
        <v>130</v>
      </c>
      <c r="E53" t="s">
        <v>114</v>
      </c>
      <c r="F53" t="s">
        <v>134</v>
      </c>
      <c r="G53" t="s">
        <v>133</v>
      </c>
      <c r="H53" s="26">
        <v>120000</v>
      </c>
      <c r="I53" s="40">
        <f>Table13[[#This Row],[Installment]]/2</f>
        <v>60000</v>
      </c>
      <c r="J53" s="42">
        <f>Table13[[#This Row],[Investment Value]]/20000</f>
        <v>3</v>
      </c>
      <c r="K53" t="s">
        <v>48</v>
      </c>
      <c r="L53" t="s">
        <v>49</v>
      </c>
    </row>
    <row r="54" spans="1:12" x14ac:dyDescent="0.3">
      <c r="A54">
        <f t="shared" si="1"/>
        <v>37</v>
      </c>
      <c r="B54" s="25">
        <v>46128</v>
      </c>
      <c r="C54" s="28">
        <v>548</v>
      </c>
      <c r="D54" s="28" t="s">
        <v>33</v>
      </c>
      <c r="E54" t="s">
        <v>45</v>
      </c>
      <c r="F54" t="s">
        <v>135</v>
      </c>
      <c r="G54" t="s">
        <v>133</v>
      </c>
      <c r="H54" s="26">
        <v>320000</v>
      </c>
      <c r="I54" s="40">
        <f>Table13[[#This Row],[Installment]]/2</f>
        <v>160000</v>
      </c>
      <c r="J54" s="42">
        <f>Table13[[#This Row],[Investment Value]]/20000</f>
        <v>8</v>
      </c>
      <c r="K54" t="s">
        <v>48</v>
      </c>
      <c r="L54" t="s">
        <v>49</v>
      </c>
    </row>
    <row r="55" spans="1:12" x14ac:dyDescent="0.3">
      <c r="A55">
        <f t="shared" si="1"/>
        <v>38</v>
      </c>
      <c r="B55" s="25">
        <v>46130</v>
      </c>
      <c r="C55" s="28">
        <v>542</v>
      </c>
      <c r="D55" s="28" t="s">
        <v>33</v>
      </c>
      <c r="E55" t="s">
        <v>45</v>
      </c>
      <c r="F55" t="s">
        <v>136</v>
      </c>
      <c r="G55" t="s">
        <v>137</v>
      </c>
      <c r="H55" s="26">
        <v>240000</v>
      </c>
      <c r="I55" s="40">
        <f>Table13[[#This Row],[Installment]]/2</f>
        <v>120000</v>
      </c>
      <c r="J55" s="42">
        <f>Table13[[#This Row],[Investment Value]]/20000</f>
        <v>6</v>
      </c>
      <c r="K55" t="s">
        <v>48</v>
      </c>
      <c r="L55" t="s">
        <v>49</v>
      </c>
    </row>
    <row r="56" spans="1:12" x14ac:dyDescent="0.3">
      <c r="A56">
        <f t="shared" si="1"/>
        <v>39</v>
      </c>
      <c r="B56" s="49">
        <v>46137</v>
      </c>
      <c r="C56" s="50">
        <v>334</v>
      </c>
      <c r="D56" s="50" t="s">
        <v>130</v>
      </c>
      <c r="E56" s="8" t="s">
        <v>131</v>
      </c>
      <c r="F56" s="8" t="s">
        <v>138</v>
      </c>
      <c r="G56" s="8" t="s">
        <v>139</v>
      </c>
      <c r="H56" s="51">
        <v>120000</v>
      </c>
      <c r="I56" s="52">
        <f>Table13[[#This Row],[Installment]]/2</f>
        <v>60000</v>
      </c>
      <c r="J56" s="53">
        <f>Table13[[#This Row],[Investment Value]]/20000</f>
        <v>3</v>
      </c>
      <c r="K56" s="8" t="s">
        <v>48</v>
      </c>
      <c r="L56" s="8" t="s">
        <v>49</v>
      </c>
    </row>
    <row r="57" spans="1:12" x14ac:dyDescent="0.3">
      <c r="A57">
        <f t="shared" si="1"/>
        <v>40</v>
      </c>
      <c r="B57" s="25">
        <v>46130</v>
      </c>
      <c r="C57" s="28">
        <v>334</v>
      </c>
      <c r="D57" s="28" t="s">
        <v>130</v>
      </c>
      <c r="E57" t="s">
        <v>140</v>
      </c>
      <c r="F57" t="s">
        <v>141</v>
      </c>
      <c r="G57" t="s">
        <v>139</v>
      </c>
      <c r="H57" s="26">
        <v>120000</v>
      </c>
      <c r="I57" s="40">
        <f>Table13[[#This Row],[Installment]]/2</f>
        <v>60000</v>
      </c>
      <c r="J57" s="42">
        <f>Table13[[#This Row],[Investment Value]]/20000</f>
        <v>3</v>
      </c>
      <c r="K57" t="s">
        <v>48</v>
      </c>
      <c r="L57" t="s">
        <v>49</v>
      </c>
    </row>
    <row r="58" spans="1:12" x14ac:dyDescent="0.3">
      <c r="A58">
        <f t="shared" si="1"/>
        <v>41</v>
      </c>
      <c r="B58" s="25">
        <v>46130</v>
      </c>
      <c r="C58" s="28">
        <v>358</v>
      </c>
      <c r="D58" s="28" t="s">
        <v>33</v>
      </c>
      <c r="E58" t="s">
        <v>45</v>
      </c>
      <c r="F58" t="s">
        <v>142</v>
      </c>
      <c r="G58" t="s">
        <v>117</v>
      </c>
      <c r="H58" s="26">
        <v>1200000</v>
      </c>
      <c r="I58" s="40">
        <f>Table13[[#This Row],[Installment]]/2</f>
        <v>600000</v>
      </c>
      <c r="J58" s="42">
        <f>Table13[[#This Row],[Investment Value]]/20000</f>
        <v>30</v>
      </c>
      <c r="K58" t="s">
        <v>48</v>
      </c>
      <c r="L58" t="s">
        <v>49</v>
      </c>
    </row>
    <row r="59" spans="1:12" x14ac:dyDescent="0.3">
      <c r="A59">
        <f t="shared" si="1"/>
        <v>42</v>
      </c>
      <c r="B59" s="25">
        <v>46129</v>
      </c>
      <c r="C59" s="28">
        <v>797</v>
      </c>
      <c r="D59" s="28" t="s">
        <v>33</v>
      </c>
      <c r="E59" t="s">
        <v>45</v>
      </c>
      <c r="F59" t="s">
        <v>143</v>
      </c>
      <c r="G59" t="s">
        <v>144</v>
      </c>
      <c r="H59" s="26">
        <v>3640000</v>
      </c>
      <c r="I59" s="40">
        <f>Table13[[#This Row],[Installment]]/2</f>
        <v>1820000</v>
      </c>
      <c r="J59" s="42">
        <f>Table13[[#This Row],[Investment Value]]/20000</f>
        <v>91</v>
      </c>
      <c r="K59" t="s">
        <v>48</v>
      </c>
      <c r="L59" t="s">
        <v>49</v>
      </c>
    </row>
    <row r="60" spans="1:12" x14ac:dyDescent="0.3">
      <c r="A60">
        <f t="shared" si="1"/>
        <v>43</v>
      </c>
      <c r="B60" s="25">
        <v>46130</v>
      </c>
      <c r="C60" s="28">
        <v>25</v>
      </c>
      <c r="D60" s="28" t="s">
        <v>39</v>
      </c>
      <c r="E60" t="s">
        <v>124</v>
      </c>
      <c r="F60" t="s">
        <v>145</v>
      </c>
      <c r="G60" t="s">
        <v>146</v>
      </c>
      <c r="H60" s="26">
        <v>1320000</v>
      </c>
      <c r="I60" s="40">
        <f>Table13[[#This Row],[Installment]]/2</f>
        <v>660000</v>
      </c>
      <c r="J60" s="42">
        <f>Table13[[#This Row],[Investment Value]]/20000</f>
        <v>33</v>
      </c>
      <c r="K60" t="s">
        <v>80</v>
      </c>
      <c r="L60" t="s">
        <v>81</v>
      </c>
    </row>
    <row r="61" spans="1:12" x14ac:dyDescent="0.3">
      <c r="A61">
        <f t="shared" si="1"/>
        <v>44</v>
      </c>
      <c r="B61" s="25">
        <v>46128</v>
      </c>
      <c r="C61" s="28">
        <v>146</v>
      </c>
      <c r="D61" s="28" t="s">
        <v>39</v>
      </c>
      <c r="E61" t="s">
        <v>87</v>
      </c>
      <c r="H61" s="26">
        <v>1840000</v>
      </c>
      <c r="I61" s="40">
        <f>Table13[[#This Row],[Installment]]/2</f>
        <v>920000</v>
      </c>
      <c r="J61" s="42">
        <f>Table13[[#This Row],[Investment Value]]/20000</f>
        <v>46</v>
      </c>
      <c r="K61" t="s">
        <v>147</v>
      </c>
      <c r="L61" t="s">
        <v>148</v>
      </c>
    </row>
    <row r="62" spans="1:12" x14ac:dyDescent="0.3">
      <c r="A62">
        <f t="shared" si="1"/>
        <v>45</v>
      </c>
      <c r="B62" s="25">
        <v>46133</v>
      </c>
      <c r="C62" s="28">
        <v>113</v>
      </c>
      <c r="D62" s="28" t="s">
        <v>33</v>
      </c>
      <c r="E62" t="s">
        <v>45</v>
      </c>
      <c r="F62" t="s">
        <v>149</v>
      </c>
      <c r="G62" t="s">
        <v>150</v>
      </c>
      <c r="H62" s="26">
        <v>1000000</v>
      </c>
      <c r="I62" s="40">
        <f>Table13[[#This Row],[Installment]]/2</f>
        <v>500000</v>
      </c>
      <c r="J62" s="42">
        <f>Table13[[#This Row],[Investment Value]]/20000</f>
        <v>25</v>
      </c>
      <c r="K62" t="s">
        <v>48</v>
      </c>
      <c r="L62" t="s">
        <v>151</v>
      </c>
    </row>
    <row r="63" spans="1:12" x14ac:dyDescent="0.3">
      <c r="A63">
        <f t="shared" si="1"/>
        <v>46</v>
      </c>
      <c r="B63" s="25">
        <v>46132</v>
      </c>
      <c r="C63" s="28">
        <v>170</v>
      </c>
      <c r="D63" s="28" t="s">
        <v>50</v>
      </c>
      <c r="E63" t="s">
        <v>45</v>
      </c>
      <c r="F63" t="s">
        <v>152</v>
      </c>
      <c r="G63" t="s">
        <v>153</v>
      </c>
      <c r="H63" s="26">
        <v>120000</v>
      </c>
      <c r="I63" s="40">
        <f>Table13[[#This Row],[Installment]]/2</f>
        <v>60000</v>
      </c>
      <c r="J63" s="42">
        <f>Table13[[#This Row],[Investment Value]]/20000</f>
        <v>3</v>
      </c>
      <c r="K63" t="s">
        <v>64</v>
      </c>
      <c r="L63" t="s">
        <v>154</v>
      </c>
    </row>
    <row r="64" spans="1:12" x14ac:dyDescent="0.3">
      <c r="A64">
        <f t="shared" si="1"/>
        <v>47</v>
      </c>
      <c r="B64" s="25">
        <v>46132</v>
      </c>
      <c r="C64" s="28">
        <v>266</v>
      </c>
      <c r="D64" s="28" t="s">
        <v>33</v>
      </c>
      <c r="E64" t="s">
        <v>45</v>
      </c>
      <c r="F64" t="s">
        <v>155</v>
      </c>
      <c r="G64" t="s">
        <v>156</v>
      </c>
      <c r="H64" s="26">
        <v>320000</v>
      </c>
      <c r="I64" s="40">
        <f>Table13[[#This Row],[Installment]]/2</f>
        <v>160000</v>
      </c>
      <c r="J64" s="42">
        <f>Table13[[#This Row],[Investment Value]]/20000</f>
        <v>8</v>
      </c>
      <c r="K64" t="s">
        <v>48</v>
      </c>
      <c r="L64" t="s">
        <v>49</v>
      </c>
    </row>
    <row r="65" spans="1:12" x14ac:dyDescent="0.3">
      <c r="A65">
        <f t="shared" si="1"/>
        <v>48</v>
      </c>
      <c r="B65" s="25">
        <v>46132</v>
      </c>
      <c r="C65" s="28">
        <v>466</v>
      </c>
      <c r="D65" s="28" t="s">
        <v>60</v>
      </c>
      <c r="E65" t="s">
        <v>127</v>
      </c>
      <c r="F65" t="s">
        <v>157</v>
      </c>
      <c r="G65" t="s">
        <v>158</v>
      </c>
      <c r="H65" s="26">
        <v>200000</v>
      </c>
      <c r="I65" s="40">
        <f>Table13[[#This Row],[Installment]]/2</f>
        <v>100000</v>
      </c>
      <c r="J65" s="42">
        <f>Table13[[#This Row],[Investment Value]]/20000</f>
        <v>5</v>
      </c>
      <c r="K65" t="s">
        <v>48</v>
      </c>
      <c r="L65" t="s">
        <v>49</v>
      </c>
    </row>
    <row r="66" spans="1:12" x14ac:dyDescent="0.3">
      <c r="A66">
        <f t="shared" si="1"/>
        <v>49</v>
      </c>
      <c r="B66" s="25">
        <v>46134</v>
      </c>
      <c r="C66" s="28">
        <v>185</v>
      </c>
      <c r="D66" s="28" t="s">
        <v>110</v>
      </c>
      <c r="E66" t="s">
        <v>127</v>
      </c>
      <c r="F66" t="s">
        <v>159</v>
      </c>
      <c r="G66" t="s">
        <v>160</v>
      </c>
      <c r="H66" s="26">
        <v>200000</v>
      </c>
      <c r="I66" s="40">
        <f>Table13[[#This Row],[Installment]]/2</f>
        <v>100000</v>
      </c>
      <c r="J66" s="42">
        <f>Table13[[#This Row],[Investment Value]]/20000</f>
        <v>5</v>
      </c>
      <c r="K66" t="s">
        <v>80</v>
      </c>
      <c r="L66" t="s">
        <v>81</v>
      </c>
    </row>
    <row r="67" spans="1:12" x14ac:dyDescent="0.3">
      <c r="A67">
        <f t="shared" si="1"/>
        <v>50</v>
      </c>
      <c r="B67" s="25">
        <v>46135</v>
      </c>
      <c r="C67" s="28">
        <v>286</v>
      </c>
      <c r="D67" s="28" t="s">
        <v>33</v>
      </c>
      <c r="E67" t="s">
        <v>45</v>
      </c>
      <c r="F67" t="s">
        <v>161</v>
      </c>
      <c r="G67" t="s">
        <v>162</v>
      </c>
      <c r="H67" s="26">
        <v>640000</v>
      </c>
      <c r="I67" s="40">
        <f>Table13[[#This Row],[Installment]]/2</f>
        <v>320000</v>
      </c>
      <c r="J67" s="42">
        <f>Table13[[#This Row],[Investment Value]]/20000</f>
        <v>16</v>
      </c>
      <c r="K67" t="s">
        <v>80</v>
      </c>
      <c r="L67" t="s">
        <v>81</v>
      </c>
    </row>
    <row r="68" spans="1:12" x14ac:dyDescent="0.3">
      <c r="A68">
        <f t="shared" si="1"/>
        <v>51</v>
      </c>
      <c r="B68" s="25">
        <v>46134</v>
      </c>
      <c r="C68" s="28">
        <v>844</v>
      </c>
      <c r="D68" s="28" t="s">
        <v>33</v>
      </c>
      <c r="E68" t="s">
        <v>45</v>
      </c>
      <c r="F68" t="s">
        <v>163</v>
      </c>
      <c r="G68" t="s">
        <v>79</v>
      </c>
      <c r="H68" s="26">
        <v>320000</v>
      </c>
      <c r="I68" s="40">
        <f>Table13[[#This Row],[Installment]]/2</f>
        <v>160000</v>
      </c>
      <c r="J68" s="42">
        <f>Table13[[#This Row],[Investment Value]]/20000</f>
        <v>8</v>
      </c>
      <c r="K68" t="s">
        <v>80</v>
      </c>
      <c r="L68" t="s">
        <v>81</v>
      </c>
    </row>
    <row r="69" spans="1:12" x14ac:dyDescent="0.3">
      <c r="A69">
        <f t="shared" si="1"/>
        <v>52</v>
      </c>
      <c r="B69" s="25">
        <v>46135</v>
      </c>
      <c r="C69" s="28">
        <v>59</v>
      </c>
      <c r="D69" s="28" t="s">
        <v>110</v>
      </c>
      <c r="E69" t="s">
        <v>87</v>
      </c>
      <c r="F69" t="s">
        <v>164</v>
      </c>
      <c r="G69" t="s">
        <v>165</v>
      </c>
      <c r="H69" s="26">
        <v>3240000</v>
      </c>
      <c r="I69" s="40">
        <f>Table13[[#This Row],[Installment]]/2</f>
        <v>1620000</v>
      </c>
      <c r="J69" s="42">
        <f>Table13[[#This Row],[Investment Value]]/20000</f>
        <v>81</v>
      </c>
      <c r="K69" t="s">
        <v>80</v>
      </c>
      <c r="L69" t="s">
        <v>81</v>
      </c>
    </row>
    <row r="70" spans="1:12" x14ac:dyDescent="0.3">
      <c r="A70">
        <f t="shared" si="1"/>
        <v>53</v>
      </c>
      <c r="B70" s="25">
        <v>46134</v>
      </c>
      <c r="C70" s="28">
        <v>17</v>
      </c>
      <c r="D70" s="28" t="s">
        <v>110</v>
      </c>
      <c r="E70" t="s">
        <v>45</v>
      </c>
      <c r="F70" t="s">
        <v>166</v>
      </c>
      <c r="G70" t="s">
        <v>167</v>
      </c>
      <c r="H70" s="26">
        <v>1000000</v>
      </c>
      <c r="I70" s="40">
        <f>Table13[[#This Row],[Installment]]/2</f>
        <v>500000</v>
      </c>
      <c r="J70" s="42">
        <f>Table13[[#This Row],[Investment Value]]/20000</f>
        <v>25</v>
      </c>
      <c r="K70" t="s">
        <v>99</v>
      </c>
      <c r="L70" t="s">
        <v>168</v>
      </c>
    </row>
    <row r="71" spans="1:12" x14ac:dyDescent="0.3">
      <c r="A71">
        <f t="shared" si="1"/>
        <v>54</v>
      </c>
      <c r="B71" s="25">
        <v>46134</v>
      </c>
      <c r="C71" s="28">
        <v>164</v>
      </c>
      <c r="D71" s="28" t="s">
        <v>110</v>
      </c>
      <c r="E71" t="s">
        <v>45</v>
      </c>
      <c r="F71" t="s">
        <v>169</v>
      </c>
      <c r="G71" t="s">
        <v>170</v>
      </c>
      <c r="H71" s="26">
        <v>320000</v>
      </c>
      <c r="I71" s="40">
        <f>Table13[[#This Row],[Installment]]/2</f>
        <v>160000</v>
      </c>
      <c r="J71" s="42">
        <f>Table13[[#This Row],[Investment Value]]/20000</f>
        <v>8</v>
      </c>
      <c r="K71" t="s">
        <v>99</v>
      </c>
      <c r="L71" t="s">
        <v>100</v>
      </c>
    </row>
    <row r="72" spans="1:12" x14ac:dyDescent="0.3">
      <c r="A72">
        <f t="shared" si="1"/>
        <v>55</v>
      </c>
      <c r="B72" s="25">
        <v>46134</v>
      </c>
      <c r="C72" s="28">
        <v>432</v>
      </c>
      <c r="D72" s="28" t="s">
        <v>33</v>
      </c>
      <c r="E72" t="s">
        <v>45</v>
      </c>
      <c r="F72" t="s">
        <v>171</v>
      </c>
      <c r="G72" t="s">
        <v>172</v>
      </c>
      <c r="H72" s="26">
        <v>320000</v>
      </c>
      <c r="I72" s="40">
        <f>Table13[[#This Row],[Installment]]/2</f>
        <v>160000</v>
      </c>
      <c r="J72" s="42">
        <f>Table13[[#This Row],[Investment Value]]/20000</f>
        <v>8</v>
      </c>
      <c r="K72" t="s">
        <v>99</v>
      </c>
      <c r="L72" t="s">
        <v>100</v>
      </c>
    </row>
    <row r="73" spans="1:12" x14ac:dyDescent="0.3">
      <c r="A73">
        <f t="shared" si="1"/>
        <v>56</v>
      </c>
      <c r="B73" s="25">
        <v>46134</v>
      </c>
      <c r="C73" s="28">
        <v>573</v>
      </c>
      <c r="D73" s="28" t="s">
        <v>33</v>
      </c>
      <c r="E73" t="s">
        <v>45</v>
      </c>
      <c r="F73" t="s">
        <v>173</v>
      </c>
      <c r="G73" t="s">
        <v>174</v>
      </c>
      <c r="H73" s="26">
        <v>1320000</v>
      </c>
      <c r="I73" s="40">
        <f>Table13[[#This Row],[Installment]]/2</f>
        <v>660000</v>
      </c>
      <c r="J73" s="42">
        <f>Table13[[#This Row],[Investment Value]]/20000</f>
        <v>33</v>
      </c>
      <c r="K73" t="s">
        <v>99</v>
      </c>
      <c r="L73" t="s">
        <v>100</v>
      </c>
    </row>
    <row r="74" spans="1:12" x14ac:dyDescent="0.3">
      <c r="A74">
        <f t="shared" si="1"/>
        <v>57</v>
      </c>
      <c r="B74" s="25">
        <v>46134</v>
      </c>
      <c r="C74" s="28">
        <v>33</v>
      </c>
      <c r="D74" s="28" t="s">
        <v>50</v>
      </c>
      <c r="E74" t="s">
        <v>45</v>
      </c>
      <c r="F74" t="s">
        <v>175</v>
      </c>
      <c r="G74" t="s">
        <v>176</v>
      </c>
      <c r="H74" s="26">
        <v>320000</v>
      </c>
      <c r="I74" s="40">
        <f>Table13[[#This Row],[Installment]]/2</f>
        <v>160000</v>
      </c>
      <c r="J74" s="42">
        <f>Table13[[#This Row],[Investment Value]]/20000</f>
        <v>8</v>
      </c>
      <c r="K74" t="s">
        <v>99</v>
      </c>
      <c r="L74" t="s">
        <v>100</v>
      </c>
    </row>
    <row r="75" spans="1:12" x14ac:dyDescent="0.3">
      <c r="A75">
        <f t="shared" si="1"/>
        <v>58</v>
      </c>
      <c r="B75" s="25">
        <v>46134</v>
      </c>
      <c r="C75" s="28">
        <v>432</v>
      </c>
      <c r="D75" s="28" t="s">
        <v>60</v>
      </c>
      <c r="E75" t="s">
        <v>127</v>
      </c>
      <c r="F75" t="s">
        <v>177</v>
      </c>
      <c r="G75" t="s">
        <v>178</v>
      </c>
      <c r="H75" s="26">
        <v>80000</v>
      </c>
      <c r="I75" s="40">
        <f>Table13[[#This Row],[Installment]]/2</f>
        <v>40000</v>
      </c>
      <c r="J75" s="42">
        <f>Table13[[#This Row],[Investment Value]]/20000</f>
        <v>2</v>
      </c>
      <c r="K75" t="s">
        <v>99</v>
      </c>
      <c r="L75" t="s">
        <v>100</v>
      </c>
    </row>
    <row r="76" spans="1:12" x14ac:dyDescent="0.3">
      <c r="A76">
        <f t="shared" si="1"/>
        <v>59</v>
      </c>
      <c r="B76" s="25">
        <v>46134</v>
      </c>
      <c r="C76" s="28">
        <v>243</v>
      </c>
      <c r="D76" s="28" t="s">
        <v>33</v>
      </c>
      <c r="E76" t="s">
        <v>45</v>
      </c>
      <c r="F76" t="s">
        <v>179</v>
      </c>
      <c r="G76" t="s">
        <v>180</v>
      </c>
      <c r="H76" s="26">
        <v>320000</v>
      </c>
      <c r="I76" s="40">
        <f>Table13[[#This Row],[Installment]]/2</f>
        <v>160000</v>
      </c>
      <c r="J76" s="42">
        <f>Table13[[#This Row],[Investment Value]]/20000</f>
        <v>8</v>
      </c>
      <c r="K76" t="s">
        <v>48</v>
      </c>
      <c r="L76" t="s">
        <v>49</v>
      </c>
    </row>
    <row r="77" spans="1:12" x14ac:dyDescent="0.3">
      <c r="A77">
        <f t="shared" si="1"/>
        <v>60</v>
      </c>
      <c r="B77" s="25">
        <v>46135</v>
      </c>
      <c r="C77" s="28">
        <v>205</v>
      </c>
      <c r="D77" s="28" t="s">
        <v>110</v>
      </c>
      <c r="E77" t="s">
        <v>181</v>
      </c>
      <c r="F77" t="s">
        <v>182</v>
      </c>
      <c r="G77" t="s">
        <v>183</v>
      </c>
      <c r="H77" s="26">
        <v>160000</v>
      </c>
      <c r="I77" s="40">
        <f>Table13[[#This Row],[Installment]]/2</f>
        <v>80000</v>
      </c>
      <c r="J77" s="42">
        <f>Table13[[#This Row],[Investment Value]]/20000</f>
        <v>4</v>
      </c>
      <c r="K77" t="s">
        <v>48</v>
      </c>
      <c r="L77" t="s">
        <v>49</v>
      </c>
    </row>
    <row r="78" spans="1:12" x14ac:dyDescent="0.3">
      <c r="A78">
        <f t="shared" si="1"/>
        <v>61</v>
      </c>
      <c r="B78" s="25">
        <v>46135</v>
      </c>
      <c r="C78" s="28">
        <v>206</v>
      </c>
      <c r="D78" s="28" t="s">
        <v>110</v>
      </c>
      <c r="E78" t="s">
        <v>181</v>
      </c>
      <c r="F78" t="s">
        <v>184</v>
      </c>
      <c r="G78" t="s">
        <v>183</v>
      </c>
      <c r="H78" s="26">
        <v>160000</v>
      </c>
      <c r="I78" s="40">
        <f>Table13[[#This Row],[Installment]]/2</f>
        <v>80000</v>
      </c>
      <c r="J78" s="42">
        <f>Table13[[#This Row],[Investment Value]]/20000</f>
        <v>4</v>
      </c>
      <c r="K78" t="s">
        <v>48</v>
      </c>
      <c r="L78" t="s">
        <v>49</v>
      </c>
    </row>
    <row r="79" spans="1:12" x14ac:dyDescent="0.3">
      <c r="A79">
        <f t="shared" si="1"/>
        <v>62</v>
      </c>
      <c r="B79" s="25">
        <v>46134</v>
      </c>
      <c r="C79" s="28">
        <v>15</v>
      </c>
      <c r="D79" s="28" t="s">
        <v>50</v>
      </c>
      <c r="E79" t="s">
        <v>45</v>
      </c>
      <c r="F79" t="s">
        <v>185</v>
      </c>
      <c r="G79" t="s">
        <v>52</v>
      </c>
      <c r="H79" s="26">
        <v>160000</v>
      </c>
      <c r="I79" s="40">
        <f>Table13[[#This Row],[Installment]]/2</f>
        <v>80000</v>
      </c>
      <c r="J79" s="42">
        <f>Table13[[#This Row],[Investment Value]]/20000</f>
        <v>4</v>
      </c>
      <c r="K79" t="s">
        <v>48</v>
      </c>
      <c r="L79" t="s">
        <v>49</v>
      </c>
    </row>
    <row r="80" spans="1:12" x14ac:dyDescent="0.3">
      <c r="A80">
        <f t="shared" si="1"/>
        <v>63</v>
      </c>
      <c r="B80" s="25">
        <v>46134</v>
      </c>
      <c r="C80" s="28">
        <v>234</v>
      </c>
      <c r="D80" s="28" t="s">
        <v>60</v>
      </c>
      <c r="E80" t="s">
        <v>127</v>
      </c>
      <c r="F80" t="s">
        <v>186</v>
      </c>
      <c r="G80" t="s">
        <v>187</v>
      </c>
      <c r="H80" s="26">
        <v>1840000</v>
      </c>
      <c r="I80" s="40">
        <f>Table13[[#This Row],[Installment]]/2</f>
        <v>920000</v>
      </c>
      <c r="J80" s="42">
        <f>Table13[[#This Row],[Investment Value]]/20000</f>
        <v>46</v>
      </c>
      <c r="K80" t="s">
        <v>48</v>
      </c>
      <c r="L80" t="s">
        <v>49</v>
      </c>
    </row>
    <row r="81" spans="1:12" x14ac:dyDescent="0.3">
      <c r="A81">
        <f t="shared" si="1"/>
        <v>64</v>
      </c>
      <c r="B81" s="25">
        <v>46133</v>
      </c>
      <c r="C81" s="28">
        <v>126</v>
      </c>
      <c r="D81" s="28" t="s">
        <v>33</v>
      </c>
      <c r="E81" t="s">
        <v>45</v>
      </c>
      <c r="F81" t="s">
        <v>188</v>
      </c>
      <c r="G81" t="s">
        <v>189</v>
      </c>
      <c r="H81" s="26">
        <v>1040000</v>
      </c>
      <c r="I81" s="40">
        <f>Table13[[#This Row],[Installment]]/2</f>
        <v>520000</v>
      </c>
      <c r="J81" s="42">
        <f>Table13[[#This Row],[Investment Value]]/20000</f>
        <v>26</v>
      </c>
      <c r="K81" t="s">
        <v>48</v>
      </c>
      <c r="L81" t="s">
        <v>151</v>
      </c>
    </row>
    <row r="82" spans="1:12" x14ac:dyDescent="0.3">
      <c r="A82">
        <f t="shared" si="1"/>
        <v>65</v>
      </c>
      <c r="B82" s="25">
        <v>46135</v>
      </c>
      <c r="C82" s="28">
        <v>16</v>
      </c>
      <c r="D82" s="28" t="s">
        <v>33</v>
      </c>
      <c r="E82" t="s">
        <v>190</v>
      </c>
      <c r="F82">
        <v>768</v>
      </c>
      <c r="G82" t="s">
        <v>191</v>
      </c>
      <c r="H82" s="26">
        <v>240000</v>
      </c>
      <c r="I82" s="40">
        <f>Table13[[#This Row],[Installment]]/2</f>
        <v>120000</v>
      </c>
      <c r="J82" s="42">
        <f>Table13[[#This Row],[Investment Value]]/20000</f>
        <v>6</v>
      </c>
      <c r="K82" t="s">
        <v>48</v>
      </c>
      <c r="L82" t="s">
        <v>49</v>
      </c>
    </row>
    <row r="83" spans="1:12" x14ac:dyDescent="0.3">
      <c r="A83">
        <f t="shared" si="1"/>
        <v>66</v>
      </c>
      <c r="B83" s="25">
        <v>46136</v>
      </c>
      <c r="C83" s="28">
        <v>11</v>
      </c>
      <c r="D83" s="28" t="s">
        <v>50</v>
      </c>
      <c r="E83" t="s">
        <v>192</v>
      </c>
      <c r="F83" t="s">
        <v>193</v>
      </c>
      <c r="G83" t="s">
        <v>137</v>
      </c>
      <c r="H83" s="26">
        <v>240000</v>
      </c>
      <c r="I83" s="40">
        <f>Table13[[#This Row],[Installment]]/2</f>
        <v>120000</v>
      </c>
      <c r="J83" s="42">
        <f>Table13[[#This Row],[Investment Value]]/20000</f>
        <v>6</v>
      </c>
      <c r="K83" t="s">
        <v>48</v>
      </c>
      <c r="L83" t="s">
        <v>49</v>
      </c>
    </row>
    <row r="84" spans="1:12" x14ac:dyDescent="0.3">
      <c r="A84">
        <f t="shared" ref="A84:A96" si="2">A83+1</f>
        <v>67</v>
      </c>
      <c r="B84" s="25">
        <v>46136</v>
      </c>
      <c r="C84" s="28">
        <v>71</v>
      </c>
      <c r="D84" s="28" t="s">
        <v>39</v>
      </c>
      <c r="E84" t="s">
        <v>40</v>
      </c>
      <c r="F84" t="s">
        <v>194</v>
      </c>
      <c r="G84" t="s">
        <v>195</v>
      </c>
      <c r="H84" s="26">
        <v>680000</v>
      </c>
      <c r="I84" s="40">
        <f>Table13[[#This Row],[Installment]]/2</f>
        <v>340000</v>
      </c>
      <c r="J84" s="42">
        <f>Table13[[#This Row],[Investment Value]]/20000</f>
        <v>17</v>
      </c>
      <c r="K84" t="s">
        <v>37</v>
      </c>
      <c r="L84" t="s">
        <v>196</v>
      </c>
    </row>
    <row r="85" spans="1:12" x14ac:dyDescent="0.3">
      <c r="A85">
        <f t="shared" si="2"/>
        <v>68</v>
      </c>
      <c r="B85" s="25">
        <v>46136</v>
      </c>
      <c r="C85" s="28">
        <v>184</v>
      </c>
      <c r="D85" s="28" t="s">
        <v>110</v>
      </c>
      <c r="E85" t="s">
        <v>127</v>
      </c>
      <c r="F85" t="s">
        <v>197</v>
      </c>
      <c r="G85" t="s">
        <v>198</v>
      </c>
      <c r="H85" s="26">
        <v>400000</v>
      </c>
      <c r="I85" s="40">
        <f>Table13[[#This Row],[Installment]]/2</f>
        <v>200000</v>
      </c>
      <c r="J85" s="42">
        <f>Table13[[#This Row],[Investment Value]]/20000</f>
        <v>10</v>
      </c>
      <c r="K85" t="s">
        <v>64</v>
      </c>
      <c r="L85" t="s">
        <v>199</v>
      </c>
    </row>
    <row r="86" spans="1:12" x14ac:dyDescent="0.3">
      <c r="A86">
        <f t="shared" si="2"/>
        <v>69</v>
      </c>
      <c r="B86" s="25">
        <v>46137</v>
      </c>
      <c r="C86" s="28">
        <v>29</v>
      </c>
      <c r="D86" s="28" t="s">
        <v>60</v>
      </c>
      <c r="E86" t="s">
        <v>127</v>
      </c>
      <c r="F86" t="s">
        <v>200</v>
      </c>
      <c r="G86" t="s">
        <v>201</v>
      </c>
      <c r="H86" s="26">
        <v>40000</v>
      </c>
      <c r="I86" s="40">
        <f>Table13[[#This Row],[Installment]]/2</f>
        <v>20000</v>
      </c>
      <c r="J86" s="42">
        <f>Table13[[#This Row],[Investment Value]]/20000</f>
        <v>1</v>
      </c>
      <c r="K86" t="s">
        <v>99</v>
      </c>
      <c r="L86" t="s">
        <v>100</v>
      </c>
    </row>
    <row r="87" spans="1:12" x14ac:dyDescent="0.3">
      <c r="A87">
        <f t="shared" si="2"/>
        <v>70</v>
      </c>
      <c r="B87" s="25">
        <v>46137</v>
      </c>
      <c r="C87" s="28">
        <v>162</v>
      </c>
      <c r="D87" s="28" t="s">
        <v>50</v>
      </c>
      <c r="E87" t="s">
        <v>45</v>
      </c>
      <c r="F87" t="s">
        <v>202</v>
      </c>
      <c r="G87" t="s">
        <v>203</v>
      </c>
      <c r="H87" s="26">
        <v>680000</v>
      </c>
      <c r="I87" s="40">
        <f>Table13[[#This Row],[Installment]]/2</f>
        <v>340000</v>
      </c>
      <c r="J87" s="42">
        <f>Table13[[#This Row],[Investment Value]]/20000</f>
        <v>17</v>
      </c>
      <c r="K87" t="s">
        <v>99</v>
      </c>
      <c r="L87" t="s">
        <v>100</v>
      </c>
    </row>
    <row r="88" spans="1:12" x14ac:dyDescent="0.3">
      <c r="A88">
        <f t="shared" si="2"/>
        <v>71</v>
      </c>
      <c r="B88" s="25">
        <v>46136</v>
      </c>
      <c r="C88" s="28">
        <v>138</v>
      </c>
      <c r="D88" s="28" t="s">
        <v>204</v>
      </c>
      <c r="E88" t="s">
        <v>205</v>
      </c>
      <c r="F88" t="s">
        <v>206</v>
      </c>
      <c r="G88" t="s">
        <v>207</v>
      </c>
      <c r="H88" s="26">
        <v>320000</v>
      </c>
      <c r="I88" s="40">
        <f>Table13[[#This Row],[Installment]]/2</f>
        <v>160000</v>
      </c>
      <c r="J88" s="42">
        <f>Table13[[#This Row],[Investment Value]]/20000</f>
        <v>8</v>
      </c>
      <c r="K88" t="s">
        <v>80</v>
      </c>
      <c r="L88" t="s">
        <v>96</v>
      </c>
    </row>
    <row r="89" spans="1:12" x14ac:dyDescent="0.3">
      <c r="A89">
        <f t="shared" si="2"/>
        <v>72</v>
      </c>
      <c r="B89" s="25">
        <v>46136</v>
      </c>
      <c r="C89" s="28">
        <v>8</v>
      </c>
      <c r="D89" s="28" t="s">
        <v>60</v>
      </c>
      <c r="E89" t="s">
        <v>127</v>
      </c>
      <c r="F89" t="s">
        <v>208</v>
      </c>
      <c r="G89" t="s">
        <v>209</v>
      </c>
      <c r="H89" s="26">
        <v>200000</v>
      </c>
      <c r="I89" s="40">
        <f>Table13[[#This Row],[Installment]]/2</f>
        <v>100000</v>
      </c>
      <c r="J89" s="42">
        <f>Table13[[#This Row],[Investment Value]]/20000</f>
        <v>5</v>
      </c>
      <c r="K89" t="s">
        <v>80</v>
      </c>
      <c r="L89" t="s">
        <v>81</v>
      </c>
    </row>
    <row r="90" spans="1:12" x14ac:dyDescent="0.3">
      <c r="A90">
        <f t="shared" si="2"/>
        <v>73</v>
      </c>
      <c r="B90" s="25">
        <v>46136</v>
      </c>
      <c r="C90" s="28">
        <v>237</v>
      </c>
      <c r="D90" s="28" t="s">
        <v>50</v>
      </c>
      <c r="E90" t="s">
        <v>45</v>
      </c>
      <c r="F90" t="s">
        <v>210</v>
      </c>
      <c r="G90" t="s">
        <v>211</v>
      </c>
      <c r="H90" s="26">
        <v>720000</v>
      </c>
      <c r="I90" s="40">
        <f>Table13[[#This Row],[Installment]]/2</f>
        <v>360000</v>
      </c>
      <c r="J90" s="42">
        <f>Table13[[#This Row],[Investment Value]]/20000</f>
        <v>18</v>
      </c>
      <c r="K90" t="s">
        <v>80</v>
      </c>
      <c r="L90" t="s">
        <v>81</v>
      </c>
    </row>
    <row r="91" spans="1:12" x14ac:dyDescent="0.3">
      <c r="A91">
        <f t="shared" si="2"/>
        <v>74</v>
      </c>
      <c r="B91" s="25">
        <v>46137</v>
      </c>
      <c r="C91" s="28">
        <v>830</v>
      </c>
      <c r="D91" s="28" t="s">
        <v>33</v>
      </c>
      <c r="E91" t="s">
        <v>45</v>
      </c>
      <c r="F91" t="s">
        <v>212</v>
      </c>
      <c r="G91" t="s">
        <v>68</v>
      </c>
      <c r="H91" s="26">
        <v>520000</v>
      </c>
      <c r="I91" s="40">
        <f>Table13[[#This Row],[Installment]]/2</f>
        <v>260000</v>
      </c>
      <c r="J91" s="42">
        <f>Table13[[#This Row],[Investment Value]]/20000</f>
        <v>13</v>
      </c>
      <c r="K91" t="s">
        <v>48</v>
      </c>
      <c r="L91" t="s">
        <v>49</v>
      </c>
    </row>
    <row r="92" spans="1:12" x14ac:dyDescent="0.3">
      <c r="A92">
        <f t="shared" si="2"/>
        <v>75</v>
      </c>
      <c r="B92" s="25">
        <v>46137</v>
      </c>
      <c r="C92" s="28">
        <v>289</v>
      </c>
      <c r="D92" s="28" t="s">
        <v>213</v>
      </c>
      <c r="E92" t="s">
        <v>127</v>
      </c>
      <c r="F92" t="s">
        <v>214</v>
      </c>
      <c r="G92" t="s">
        <v>137</v>
      </c>
      <c r="H92" s="26">
        <v>320000</v>
      </c>
      <c r="I92" s="40">
        <f>Table13[[#This Row],[Installment]]/2</f>
        <v>160000</v>
      </c>
      <c r="J92" s="42">
        <f>Table13[[#This Row],[Investment Value]]/20000</f>
        <v>8</v>
      </c>
      <c r="K92" t="s">
        <v>48</v>
      </c>
      <c r="L92" t="s">
        <v>49</v>
      </c>
    </row>
    <row r="93" spans="1:12" x14ac:dyDescent="0.3">
      <c r="A93">
        <f t="shared" si="2"/>
        <v>76</v>
      </c>
      <c r="B93" s="25">
        <v>46137</v>
      </c>
      <c r="C93" s="28">
        <v>26</v>
      </c>
      <c r="D93" s="28" t="s">
        <v>60</v>
      </c>
      <c r="E93" t="s">
        <v>127</v>
      </c>
      <c r="F93" t="s">
        <v>215</v>
      </c>
      <c r="G93" t="s">
        <v>216</v>
      </c>
      <c r="H93" s="26">
        <v>240000</v>
      </c>
      <c r="I93" s="40">
        <f>Table13[[#This Row],[Installment]]/2</f>
        <v>120000</v>
      </c>
      <c r="J93" s="42">
        <f>Table13[[#This Row],[Investment Value]]/20000</f>
        <v>6</v>
      </c>
      <c r="K93" t="s">
        <v>147</v>
      </c>
      <c r="L93" t="s">
        <v>217</v>
      </c>
    </row>
    <row r="94" spans="1:12" x14ac:dyDescent="0.3">
      <c r="A94">
        <f t="shared" si="2"/>
        <v>77</v>
      </c>
      <c r="B94" s="25">
        <v>46137</v>
      </c>
      <c r="C94" s="28">
        <v>318</v>
      </c>
      <c r="D94" s="28" t="s">
        <v>33</v>
      </c>
      <c r="E94" t="s">
        <v>218</v>
      </c>
      <c r="F94" t="s">
        <v>219</v>
      </c>
      <c r="G94" t="s">
        <v>220</v>
      </c>
      <c r="H94" s="26">
        <v>2080000</v>
      </c>
      <c r="I94" s="40">
        <f>Table13[[#This Row],[Installment]]/2</f>
        <v>1040000</v>
      </c>
      <c r="J94" s="42">
        <f>Table13[[#This Row],[Investment Value]]/20000</f>
        <v>52</v>
      </c>
      <c r="K94" t="s">
        <v>80</v>
      </c>
      <c r="L94" t="s">
        <v>81</v>
      </c>
    </row>
    <row r="95" spans="1:12" x14ac:dyDescent="0.3">
      <c r="A95">
        <f t="shared" si="2"/>
        <v>78</v>
      </c>
      <c r="B95" s="25">
        <v>46137</v>
      </c>
      <c r="C95" s="28">
        <v>162</v>
      </c>
      <c r="D95" s="28" t="s">
        <v>110</v>
      </c>
      <c r="E95" t="s">
        <v>127</v>
      </c>
      <c r="F95" t="s">
        <v>221</v>
      </c>
      <c r="G95" t="s">
        <v>222</v>
      </c>
      <c r="H95" s="26">
        <v>200000</v>
      </c>
      <c r="I95" s="40">
        <f>Table13[[#This Row],[Installment]]/2</f>
        <v>100000</v>
      </c>
      <c r="J95" s="42">
        <f>Table13[[#This Row],[Investment Value]]/20000</f>
        <v>5</v>
      </c>
      <c r="K95" t="s">
        <v>64</v>
      </c>
      <c r="L95" t="s">
        <v>223</v>
      </c>
    </row>
    <row r="96" spans="1:12" x14ac:dyDescent="0.3">
      <c r="A96">
        <f t="shared" si="2"/>
        <v>79</v>
      </c>
      <c r="B96" s="25">
        <v>46137</v>
      </c>
      <c r="C96" s="28">
        <v>169</v>
      </c>
      <c r="D96" s="28" t="s">
        <v>224</v>
      </c>
      <c r="E96" t="s">
        <v>45</v>
      </c>
      <c r="F96">
        <v>778</v>
      </c>
      <c r="G96" t="s">
        <v>225</v>
      </c>
      <c r="H96" s="26">
        <v>280000</v>
      </c>
      <c r="I96" s="40">
        <f>Table13[[#This Row],[Installment]]/2</f>
        <v>140000</v>
      </c>
      <c r="J96" s="42">
        <f>Table13[[#This Row],[Investment Value]]/20000</f>
        <v>7</v>
      </c>
      <c r="K96" t="s">
        <v>64</v>
      </c>
      <c r="L96" t="s">
        <v>226</v>
      </c>
    </row>
    <row r="97" spans="1:12" x14ac:dyDescent="0.3">
      <c r="A97">
        <v>80</v>
      </c>
      <c r="B97" s="25">
        <v>46137</v>
      </c>
      <c r="C97" s="28">
        <v>169</v>
      </c>
      <c r="D97" s="28" t="s">
        <v>224</v>
      </c>
      <c r="E97" t="s">
        <v>45</v>
      </c>
      <c r="F97">
        <v>779</v>
      </c>
      <c r="G97" t="s">
        <v>225</v>
      </c>
      <c r="H97" s="26">
        <v>240000</v>
      </c>
      <c r="I97" s="40">
        <f>Table13[[#This Row],[Installment]]/2</f>
        <v>120000</v>
      </c>
      <c r="J97" s="42">
        <f>Table13[[#This Row],[Investment Value]]/20000</f>
        <v>6</v>
      </c>
      <c r="K97" t="s">
        <v>64</v>
      </c>
      <c r="L97" t="s">
        <v>226</v>
      </c>
    </row>
    <row r="98" spans="1:12" x14ac:dyDescent="0.3">
      <c r="A98">
        <v>81</v>
      </c>
      <c r="B98" s="25">
        <v>46139</v>
      </c>
      <c r="C98" s="28">
        <v>246</v>
      </c>
      <c r="D98" s="28" t="s">
        <v>33</v>
      </c>
      <c r="E98" t="s">
        <v>45</v>
      </c>
      <c r="F98" t="s">
        <v>227</v>
      </c>
      <c r="G98" t="s">
        <v>228</v>
      </c>
      <c r="H98" s="26">
        <v>1000000</v>
      </c>
      <c r="I98" s="40">
        <f>Table13[[#This Row],[Installment]]/2</f>
        <v>500000</v>
      </c>
      <c r="J98" s="42">
        <f>Table13[[#This Row],[Investment Value]]/20000</f>
        <v>25</v>
      </c>
      <c r="K98" t="s">
        <v>48</v>
      </c>
      <c r="L98" t="s">
        <v>49</v>
      </c>
    </row>
    <row r="99" spans="1:12" x14ac:dyDescent="0.3">
      <c r="A99">
        <v>82</v>
      </c>
      <c r="B99" s="25">
        <v>46139</v>
      </c>
      <c r="C99" s="28">
        <v>447</v>
      </c>
      <c r="D99" s="28" t="s">
        <v>33</v>
      </c>
      <c r="E99" t="s">
        <v>45</v>
      </c>
      <c r="F99" t="s">
        <v>229</v>
      </c>
      <c r="G99" t="s">
        <v>36</v>
      </c>
      <c r="H99" s="26">
        <v>200000</v>
      </c>
      <c r="I99" s="40">
        <f>Table13[[#This Row],[Installment]]/2</f>
        <v>100000</v>
      </c>
      <c r="J99" s="42">
        <f>Table13[[#This Row],[Investment Value]]/20000</f>
        <v>5</v>
      </c>
      <c r="K99" t="s">
        <v>48</v>
      </c>
      <c r="L99" t="s">
        <v>49</v>
      </c>
    </row>
    <row r="100" spans="1:12" x14ac:dyDescent="0.3">
      <c r="A100">
        <v>83</v>
      </c>
      <c r="B100" s="25">
        <v>46139</v>
      </c>
      <c r="C100" s="28">
        <v>445</v>
      </c>
      <c r="D100" s="28" t="s">
        <v>60</v>
      </c>
      <c r="E100" t="s">
        <v>127</v>
      </c>
      <c r="F100" t="s">
        <v>230</v>
      </c>
      <c r="G100" t="s">
        <v>231</v>
      </c>
      <c r="H100" s="26">
        <v>200000</v>
      </c>
      <c r="I100" s="40">
        <f>Table13[[#This Row],[Installment]]/2</f>
        <v>100000</v>
      </c>
      <c r="J100" s="42">
        <f>Table13[[#This Row],[Investment Value]]/20000</f>
        <v>5</v>
      </c>
      <c r="K100" t="s">
        <v>48</v>
      </c>
      <c r="L100" t="s">
        <v>49</v>
      </c>
    </row>
    <row r="101" spans="1:12" x14ac:dyDescent="0.3">
      <c r="A101">
        <v>84</v>
      </c>
      <c r="B101" s="25">
        <v>46141</v>
      </c>
      <c r="C101" s="28">
        <v>434</v>
      </c>
      <c r="D101" s="28" t="s">
        <v>33</v>
      </c>
      <c r="E101" t="s">
        <v>45</v>
      </c>
      <c r="F101" t="s">
        <v>232</v>
      </c>
      <c r="G101" t="s">
        <v>233</v>
      </c>
      <c r="H101" s="26">
        <v>320000</v>
      </c>
      <c r="I101" s="40">
        <f>Table13[[#This Row],[Installment]]/2</f>
        <v>160000</v>
      </c>
      <c r="J101" s="42">
        <f>Table13[[#This Row],[Investment Value]]/20000</f>
        <v>8</v>
      </c>
      <c r="K101" t="s">
        <v>64</v>
      </c>
      <c r="L101" t="s">
        <v>109</v>
      </c>
    </row>
    <row r="102" spans="1:12" x14ac:dyDescent="0.3">
      <c r="A102">
        <v>85</v>
      </c>
      <c r="B102" s="25">
        <v>46141</v>
      </c>
      <c r="C102" s="28">
        <v>36</v>
      </c>
      <c r="D102" s="28" t="s">
        <v>50</v>
      </c>
      <c r="E102" t="s">
        <v>45</v>
      </c>
      <c r="F102" t="s">
        <v>234</v>
      </c>
      <c r="G102" t="s">
        <v>233</v>
      </c>
      <c r="H102" s="26">
        <v>320000</v>
      </c>
      <c r="I102" s="40">
        <f>Table13[[#This Row],[Installment]]/2</f>
        <v>160000</v>
      </c>
      <c r="J102" s="42">
        <f>Table13[[#This Row],[Investment Value]]/20000</f>
        <v>8</v>
      </c>
      <c r="K102" t="s">
        <v>64</v>
      </c>
      <c r="L102" t="s">
        <v>77</v>
      </c>
    </row>
    <row r="103" spans="1:12" x14ac:dyDescent="0.3">
      <c r="A103">
        <v>86</v>
      </c>
      <c r="B103" s="25">
        <v>46141</v>
      </c>
      <c r="C103" s="28">
        <v>343</v>
      </c>
      <c r="D103" s="28" t="s">
        <v>33</v>
      </c>
      <c r="E103" t="s">
        <v>45</v>
      </c>
      <c r="F103" t="s">
        <v>235</v>
      </c>
      <c r="G103" t="s">
        <v>233</v>
      </c>
      <c r="H103" s="26">
        <v>320000</v>
      </c>
      <c r="I103" s="40">
        <f>Table13[[#This Row],[Installment]]/2</f>
        <v>160000</v>
      </c>
      <c r="J103" s="42">
        <f>Table13[[#This Row],[Investment Value]]/20000</f>
        <v>8</v>
      </c>
      <c r="K103" t="s">
        <v>64</v>
      </c>
      <c r="L103" t="s">
        <v>77</v>
      </c>
    </row>
    <row r="104" spans="1:12" x14ac:dyDescent="0.3">
      <c r="A104">
        <v>87</v>
      </c>
      <c r="B104" s="25">
        <v>46141</v>
      </c>
      <c r="C104" s="28">
        <v>247</v>
      </c>
      <c r="D104" s="28" t="s">
        <v>33</v>
      </c>
      <c r="E104" t="s">
        <v>45</v>
      </c>
      <c r="F104" t="s">
        <v>236</v>
      </c>
      <c r="G104" t="s">
        <v>237</v>
      </c>
      <c r="H104" s="26">
        <v>320000</v>
      </c>
      <c r="I104" s="40">
        <f>Table13[[#This Row],[Installment]]/2</f>
        <v>160000</v>
      </c>
      <c r="J104" s="42">
        <f>Table13[[#This Row],[Investment Value]]/20000</f>
        <v>8</v>
      </c>
      <c r="K104" t="s">
        <v>64</v>
      </c>
      <c r="L104" t="s">
        <v>77</v>
      </c>
    </row>
    <row r="105" spans="1:12" x14ac:dyDescent="0.3">
      <c r="A105">
        <v>88</v>
      </c>
      <c r="B105" s="25">
        <v>46141</v>
      </c>
      <c r="C105" s="28">
        <v>275</v>
      </c>
      <c r="D105" s="28" t="s">
        <v>33</v>
      </c>
      <c r="E105" t="s">
        <v>45</v>
      </c>
      <c r="F105" t="s">
        <v>238</v>
      </c>
      <c r="G105" t="s">
        <v>237</v>
      </c>
      <c r="H105" s="26">
        <v>320000</v>
      </c>
      <c r="I105" s="40">
        <f>Table13[[#This Row],[Installment]]/2</f>
        <v>160000</v>
      </c>
      <c r="J105" s="42">
        <f>Table13[[#This Row],[Investment Value]]/20000</f>
        <v>8</v>
      </c>
      <c r="K105" t="s">
        <v>64</v>
      </c>
      <c r="L105" t="s">
        <v>77</v>
      </c>
    </row>
    <row r="106" spans="1:12" x14ac:dyDescent="0.3">
      <c r="A106">
        <v>89</v>
      </c>
      <c r="B106" s="25">
        <v>46141</v>
      </c>
      <c r="C106" s="28">
        <v>436</v>
      </c>
      <c r="D106" s="28" t="s">
        <v>33</v>
      </c>
      <c r="E106" t="s">
        <v>45</v>
      </c>
      <c r="F106" t="s">
        <v>239</v>
      </c>
      <c r="G106" t="s">
        <v>237</v>
      </c>
      <c r="H106" s="26">
        <v>320000</v>
      </c>
      <c r="I106" s="40">
        <f>Table13[[#This Row],[Installment]]/2</f>
        <v>160000</v>
      </c>
      <c r="J106" s="42">
        <f>Table13[[#This Row],[Investment Value]]/20000</f>
        <v>8</v>
      </c>
      <c r="K106" t="s">
        <v>64</v>
      </c>
      <c r="L106" t="s">
        <v>77</v>
      </c>
    </row>
    <row r="107" spans="1:12" x14ac:dyDescent="0.3">
      <c r="A107">
        <v>90</v>
      </c>
      <c r="B107" s="25">
        <v>46141</v>
      </c>
      <c r="C107" s="28">
        <v>29</v>
      </c>
      <c r="D107" s="28" t="s">
        <v>60</v>
      </c>
      <c r="E107" t="s">
        <v>127</v>
      </c>
      <c r="F107" t="s">
        <v>240</v>
      </c>
      <c r="G107" t="s">
        <v>201</v>
      </c>
      <c r="H107" s="26">
        <v>160000</v>
      </c>
      <c r="I107" s="40">
        <f>Table13[[#This Row],[Installment]]/2</f>
        <v>80000</v>
      </c>
      <c r="J107" s="42">
        <f>Table13[[#This Row],[Investment Value]]/20000</f>
        <v>4</v>
      </c>
      <c r="K107" t="s">
        <v>64</v>
      </c>
      <c r="L107" t="s">
        <v>77</v>
      </c>
    </row>
    <row r="108" spans="1:12" x14ac:dyDescent="0.3">
      <c r="A108">
        <f>A107+1</f>
        <v>91</v>
      </c>
      <c r="B108" s="25">
        <v>46141</v>
      </c>
      <c r="C108" s="28">
        <v>395</v>
      </c>
      <c r="D108" s="28" t="s">
        <v>60</v>
      </c>
      <c r="E108" t="s">
        <v>127</v>
      </c>
      <c r="F108" t="s">
        <v>241</v>
      </c>
      <c r="G108" t="s">
        <v>242</v>
      </c>
      <c r="H108" s="26">
        <v>200000</v>
      </c>
      <c r="I108" s="40">
        <f>Table13[[#This Row],[Installment]]/2</f>
        <v>100000</v>
      </c>
      <c r="J108" s="42">
        <f>Table13[[#This Row],[Investment Value]]/20000</f>
        <v>5</v>
      </c>
      <c r="K108" t="s">
        <v>64</v>
      </c>
      <c r="L108" t="s">
        <v>77</v>
      </c>
    </row>
    <row r="109" spans="1:12" x14ac:dyDescent="0.3">
      <c r="A109">
        <f t="shared" ref="A109:A119" si="3">A108+1</f>
        <v>92</v>
      </c>
      <c r="B109" s="25">
        <v>46149</v>
      </c>
      <c r="C109" s="28">
        <v>40</v>
      </c>
      <c r="D109" s="28" t="s">
        <v>50</v>
      </c>
      <c r="E109" t="s">
        <v>45</v>
      </c>
      <c r="F109" t="s">
        <v>243</v>
      </c>
      <c r="G109" t="s">
        <v>244</v>
      </c>
      <c r="H109" s="26">
        <v>520000</v>
      </c>
      <c r="I109" s="40">
        <f>Table13[[#This Row],[Installment]]/2</f>
        <v>260000</v>
      </c>
      <c r="J109" s="42">
        <f>Table13[[#This Row],[Investment Value]]/20000</f>
        <v>13</v>
      </c>
      <c r="K109" t="s">
        <v>80</v>
      </c>
      <c r="L109" t="s">
        <v>77</v>
      </c>
    </row>
    <row r="110" spans="1:12" x14ac:dyDescent="0.3">
      <c r="A110">
        <f t="shared" si="3"/>
        <v>93</v>
      </c>
      <c r="B110" s="25">
        <v>46148</v>
      </c>
      <c r="C110" s="28">
        <v>425</v>
      </c>
      <c r="D110" s="28" t="s">
        <v>60</v>
      </c>
      <c r="E110" t="s">
        <v>127</v>
      </c>
      <c r="F110" t="s">
        <v>245</v>
      </c>
      <c r="G110" t="s">
        <v>246</v>
      </c>
      <c r="H110" s="26">
        <v>200000</v>
      </c>
      <c r="I110" s="40">
        <f>Table13[[#This Row],[Installment]]/2</f>
        <v>100000</v>
      </c>
      <c r="J110" s="42">
        <f>Table13[[#This Row],[Investment Value]]/20000</f>
        <v>5</v>
      </c>
      <c r="K110" t="s">
        <v>48</v>
      </c>
      <c r="L110" t="s">
        <v>49</v>
      </c>
    </row>
    <row r="111" spans="1:12" x14ac:dyDescent="0.3">
      <c r="A111">
        <f t="shared" si="3"/>
        <v>94</v>
      </c>
      <c r="B111" s="25">
        <v>46148</v>
      </c>
      <c r="C111" s="28">
        <v>383</v>
      </c>
      <c r="D111" s="28" t="s">
        <v>33</v>
      </c>
      <c r="E111" t="s">
        <v>45</v>
      </c>
      <c r="F111" t="s">
        <v>247</v>
      </c>
      <c r="G111" t="s">
        <v>248</v>
      </c>
      <c r="H111" s="26">
        <v>1040000</v>
      </c>
      <c r="I111" s="40">
        <f>Table13[[#This Row],[Installment]]/2</f>
        <v>520000</v>
      </c>
      <c r="J111" s="42">
        <f>Table13[[#This Row],[Investment Value]]/20000</f>
        <v>26</v>
      </c>
      <c r="K111" t="s">
        <v>48</v>
      </c>
      <c r="L111" t="s">
        <v>49</v>
      </c>
    </row>
    <row r="112" spans="1:12" x14ac:dyDescent="0.3">
      <c r="A112">
        <f t="shared" si="3"/>
        <v>95</v>
      </c>
      <c r="B112" s="25">
        <v>46148</v>
      </c>
      <c r="C112" s="28">
        <v>126</v>
      </c>
      <c r="D112" s="28" t="s">
        <v>50</v>
      </c>
      <c r="E112" t="s">
        <v>45</v>
      </c>
      <c r="F112" t="s">
        <v>249</v>
      </c>
      <c r="G112" t="s">
        <v>233</v>
      </c>
      <c r="H112" s="26">
        <v>1160000</v>
      </c>
      <c r="I112" s="40">
        <f>Table13[[#This Row],[Installment]]/2</f>
        <v>580000</v>
      </c>
      <c r="J112" s="42">
        <f>Table13[[#This Row],[Investment Value]]/20000</f>
        <v>29</v>
      </c>
      <c r="K112" t="s">
        <v>48</v>
      </c>
      <c r="L112" t="s">
        <v>49</v>
      </c>
    </row>
    <row r="113" spans="1:12" x14ac:dyDescent="0.3">
      <c r="A113">
        <f t="shared" si="3"/>
        <v>96</v>
      </c>
      <c r="B113" s="25">
        <v>46149</v>
      </c>
      <c r="C113" s="28">
        <v>124</v>
      </c>
      <c r="D113" s="28" t="s">
        <v>33</v>
      </c>
      <c r="E113" t="s">
        <v>45</v>
      </c>
      <c r="F113" t="s">
        <v>250</v>
      </c>
      <c r="G113" t="s">
        <v>251</v>
      </c>
      <c r="H113" s="26">
        <v>1040000</v>
      </c>
      <c r="I113" s="40">
        <f>Table13[[#This Row],[Installment]]/2</f>
        <v>520000</v>
      </c>
      <c r="J113" s="42">
        <f>Table13[[#This Row],[Investment Value]]/20000</f>
        <v>26</v>
      </c>
      <c r="K113" t="s">
        <v>48</v>
      </c>
      <c r="L113" t="s">
        <v>77</v>
      </c>
    </row>
    <row r="114" spans="1:12" x14ac:dyDescent="0.3">
      <c r="A114">
        <f t="shared" si="3"/>
        <v>97</v>
      </c>
      <c r="B114" s="25">
        <v>46149</v>
      </c>
      <c r="C114" s="28">
        <v>778</v>
      </c>
      <c r="D114" s="28" t="s">
        <v>33</v>
      </c>
      <c r="E114" t="s">
        <v>45</v>
      </c>
      <c r="F114" t="s">
        <v>252</v>
      </c>
      <c r="G114" t="s">
        <v>137</v>
      </c>
      <c r="H114" s="26">
        <v>4000000</v>
      </c>
      <c r="I114" s="40">
        <f>Table13[[#This Row],[Installment]]/2</f>
        <v>2000000</v>
      </c>
      <c r="J114" s="42">
        <f>Table13[[#This Row],[Investment Value]]/20000</f>
        <v>100</v>
      </c>
      <c r="K114" t="s">
        <v>64</v>
      </c>
      <c r="L114" t="s">
        <v>77</v>
      </c>
    </row>
    <row r="115" spans="1:12" x14ac:dyDescent="0.3">
      <c r="A115">
        <f t="shared" si="3"/>
        <v>98</v>
      </c>
      <c r="B115" s="25">
        <v>46148</v>
      </c>
      <c r="C115" s="28" t="s">
        <v>253</v>
      </c>
      <c r="D115" s="28" t="s">
        <v>254</v>
      </c>
      <c r="E115" t="s">
        <v>255</v>
      </c>
      <c r="F115" t="s">
        <v>256</v>
      </c>
      <c r="G115" t="s">
        <v>257</v>
      </c>
      <c r="H115" s="26">
        <v>120000</v>
      </c>
      <c r="I115" s="40">
        <f>Table13[[#This Row],[Installment]]/2</f>
        <v>60000</v>
      </c>
      <c r="J115" s="42">
        <f>Table13[[#This Row],[Investment Value]]/20000</f>
        <v>3</v>
      </c>
      <c r="K115" t="s">
        <v>64</v>
      </c>
      <c r="L115" t="s">
        <v>199</v>
      </c>
    </row>
    <row r="116" spans="1:12" x14ac:dyDescent="0.3">
      <c r="A116">
        <f t="shared" si="3"/>
        <v>99</v>
      </c>
      <c r="B116" s="25">
        <v>46151</v>
      </c>
      <c r="C116" s="28">
        <v>206</v>
      </c>
      <c r="D116" s="28" t="s">
        <v>33</v>
      </c>
      <c r="E116" t="s">
        <v>45</v>
      </c>
      <c r="F116" t="s">
        <v>258</v>
      </c>
      <c r="G116" t="s">
        <v>251</v>
      </c>
      <c r="H116" s="26">
        <v>1040000</v>
      </c>
      <c r="I116" s="40">
        <f>Table13[[#This Row],[Installment]]/2</f>
        <v>520000</v>
      </c>
      <c r="J116" s="42">
        <f>Table13[[#This Row],[Investment Value]]/20000</f>
        <v>26</v>
      </c>
      <c r="K116" t="s">
        <v>48</v>
      </c>
      <c r="L116" t="s">
        <v>77</v>
      </c>
    </row>
    <row r="117" spans="1:12" x14ac:dyDescent="0.3">
      <c r="A117">
        <f t="shared" si="3"/>
        <v>100</v>
      </c>
      <c r="B117" s="25">
        <v>46160</v>
      </c>
      <c r="C117" s="28">
        <v>38</v>
      </c>
      <c r="D117" s="28" t="s">
        <v>259</v>
      </c>
      <c r="E117" t="s">
        <v>87</v>
      </c>
      <c r="F117" t="s">
        <v>260</v>
      </c>
      <c r="G117" t="s">
        <v>58</v>
      </c>
      <c r="H117" s="26">
        <v>20000000</v>
      </c>
      <c r="I117" s="40">
        <f>Table13[[#This Row],[Installment]]/2</f>
        <v>10000000</v>
      </c>
      <c r="J117" s="42">
        <f>Table13[[#This Row],[Investment Value]]/20000</f>
        <v>500</v>
      </c>
      <c r="K117" t="s">
        <v>261</v>
      </c>
      <c r="L117" t="s">
        <v>262</v>
      </c>
    </row>
    <row r="118" spans="1:12" x14ac:dyDescent="0.3">
      <c r="A118">
        <f t="shared" si="3"/>
        <v>101</v>
      </c>
      <c r="C118" s="28">
        <v>482</v>
      </c>
      <c r="D118" s="28" t="s">
        <v>213</v>
      </c>
      <c r="E118" t="s">
        <v>127</v>
      </c>
      <c r="G118" t="s">
        <v>263</v>
      </c>
      <c r="H118" s="26"/>
      <c r="I118" s="40">
        <f>Table13[[#This Row],[Installment]]/2</f>
        <v>0</v>
      </c>
      <c r="J118" s="42">
        <f>Table13[[#This Row],[Investment Value]]/20000</f>
        <v>0</v>
      </c>
      <c r="K118" t="s">
        <v>64</v>
      </c>
    </row>
    <row r="119" spans="1:12" x14ac:dyDescent="0.3">
      <c r="A119">
        <f t="shared" si="3"/>
        <v>102</v>
      </c>
      <c r="B119" s="25">
        <v>46160</v>
      </c>
      <c r="C119" s="28">
        <v>167</v>
      </c>
      <c r="D119" s="28" t="s">
        <v>110</v>
      </c>
      <c r="E119" t="s">
        <v>45</v>
      </c>
      <c r="F119" t="s">
        <v>264</v>
      </c>
      <c r="G119" t="s">
        <v>265</v>
      </c>
      <c r="H119" s="26">
        <v>320000</v>
      </c>
      <c r="I119" s="40">
        <f>Table13[[#This Row],[Installment]]/2</f>
        <v>160000</v>
      </c>
      <c r="J119" s="42">
        <f>Table13[[#This Row],[Investment Value]]/20000</f>
        <v>8</v>
      </c>
      <c r="K119" t="s">
        <v>64</v>
      </c>
      <c r="L119" t="s">
        <v>77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 MARKETING</dc:creator>
  <cp:lastModifiedBy>AA-A</cp:lastModifiedBy>
  <dcterms:created xsi:type="dcterms:W3CDTF">2026-06-03T14:52:13Z</dcterms:created>
  <dcterms:modified xsi:type="dcterms:W3CDTF">2026-06-18T10:18:32Z</dcterms:modified>
</cp:coreProperties>
</file>